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Desktop\Level up\Data Analytics\My Projects\Aviation portfolio\Project 7 Fuel Cost Tracker\"/>
    </mc:Choice>
  </mc:AlternateContent>
  <xr:revisionPtr revIDLastSave="0" documentId="13_ncr:1_{CF2B4589-B54D-4541-B16A-493DE643BCD2}" xr6:coauthVersionLast="47" xr6:coauthVersionMax="47" xr10:uidLastSave="{00000000-0000-0000-0000-000000000000}"/>
  <bookViews>
    <workbookView xWindow="-120" yWindow="-120" windowWidth="20640" windowHeight="11040" firstSheet="7" activeTab="7" xr2:uid="{4055A1C1-016D-4AAF-9BB1-7B7AAF5723E8}"/>
  </bookViews>
  <sheets>
    <sheet name="Intro" sheetId="1" r:id="rId1"/>
    <sheet name="Working sheet" sheetId="4" r:id="rId2"/>
    <sheet name="Fuel Burn rate" sheetId="2" r:id="rId3"/>
    <sheet name="Duration" sheetId="3" r:id="rId4"/>
    <sheet name="6 Months data" sheetId="5" r:id="rId5"/>
    <sheet name="PivotTable - Route Cost" sheetId="6" r:id="rId6"/>
    <sheet name="PivotTable - Efficiency" sheetId="7" r:id="rId7"/>
    <sheet name="PivotTable - Monthly Spend" sheetId="8" r:id="rId8"/>
  </sheets>
  <calcPr calcId="181029"/>
  <pivotCaches>
    <pivotCache cacheId="6" r:id="rId9"/>
  </pivotCaches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3" i="5" l="1"/>
  <c r="A4" i="5"/>
  <c r="A5" i="5"/>
  <c r="A6" i="5"/>
  <c r="A7" i="5"/>
  <c r="A2" i="5"/>
  <c r="K7" i="4"/>
  <c r="E6" i="5"/>
  <c r="K5" i="4"/>
  <c r="P12" i="4"/>
  <c r="P11" i="4"/>
  <c r="P10" i="4"/>
  <c r="I2" i="3"/>
  <c r="I3" i="3"/>
  <c r="I4" i="3"/>
  <c r="I5" i="3"/>
  <c r="J5" i="3" s="1"/>
  <c r="I6" i="3"/>
  <c r="F3" i="3"/>
  <c r="J3" i="3" s="1"/>
  <c r="F2" i="3"/>
  <c r="J2" i="3" s="1"/>
  <c r="F4" i="3"/>
  <c r="J4" i="3" s="1"/>
  <c r="F5" i="3"/>
  <c r="F6" i="3"/>
  <c r="J6" i="3" s="1"/>
  <c r="E6" i="3"/>
  <c r="E5" i="3"/>
  <c r="E4" i="3"/>
  <c r="E2" i="3"/>
  <c r="E3" i="3"/>
</calcChain>
</file>

<file path=xl/sharedStrings.xml><?xml version="1.0" encoding="utf-8"?>
<sst xmlns="http://schemas.openxmlformats.org/spreadsheetml/2006/main" count="840" uniqueCount="326">
  <si>
    <t>What this project is about</t>
  </si>
  <si>
    <r>
      <t xml:space="preserve">You're analyzing </t>
    </r>
    <r>
      <rPr>
        <b/>
        <sz val="12"/>
        <color theme="1"/>
        <rFont val="Garamond"/>
        <family val="2"/>
      </rPr>
      <t>fuel consumption and cost data</t>
    </r>
    <r>
      <rPr>
        <sz val="12"/>
        <color theme="1"/>
        <rFont val="Garamond"/>
        <family val="2"/>
      </rPr>
      <t xml:space="preserve"> across different aircraft types and routes to answer three business questions:</t>
    </r>
  </si>
  <si>
    <t>1. Which routes are most expensive to fuel?</t>
  </si>
  <si>
    <t>2. Which aircraft types are most fuel-efficient?</t>
  </si>
  <si>
    <t>3. How does fuel spend trend month over month?</t>
  </si>
  <si>
    <t>Fuel Cost Tracker</t>
  </si>
  <si>
    <t xml:space="preserve"> </t>
  </si>
  <si>
    <t>Column</t>
  </si>
  <si>
    <t>Purpose</t>
  </si>
  <si>
    <t>Flight ID</t>
  </si>
  <si>
    <t>Unique identifier per row</t>
  </si>
  <si>
    <t>Aircraft Type</t>
  </si>
  <si>
    <t>For efficiency comparison</t>
  </si>
  <si>
    <t>Route</t>
  </si>
  <si>
    <t>For cost-per-route analysis</t>
  </si>
  <si>
    <t>Date</t>
  </si>
  <si>
    <t>For monthly trend analysis</t>
  </si>
  <si>
    <t>Duration (hrs)</t>
  </si>
  <si>
    <t>Drives fuel consumption</t>
  </si>
  <si>
    <t>Fuel Consumed (liters)</t>
  </si>
  <si>
    <t>Raw quantity — this is what "efficiency" is measured against</t>
  </si>
  <si>
    <t>Price per Liter</t>
  </si>
  <si>
    <t>Market fuel price on that date</t>
  </si>
  <si>
    <t>Total Fuel Cost</t>
  </si>
  <si>
    <t>:(Fuel Consumed * Price per Liter):</t>
  </si>
  <si>
    <t>Column1</t>
  </si>
  <si>
    <t>Airbus A320</t>
  </si>
  <si>
    <t>Boeing 737</t>
  </si>
  <si>
    <t>Airbus A380</t>
  </si>
  <si>
    <t>Duration</t>
  </si>
  <si>
    <t>Karachi → Islamabad</t>
  </si>
  <si>
    <t>2h 00m</t>
  </si>
  <si>
    <t>Karachi → Lahore</t>
  </si>
  <si>
    <t>1h 55m</t>
  </si>
  <si>
    <t>Karachi → Sri Lanka</t>
  </si>
  <si>
    <t>3h 30m</t>
  </si>
  <si>
    <t>Karachi → Istanbul</t>
  </si>
  <si>
    <t>6h 35m</t>
  </si>
  <si>
    <t>Doha → Washington DC</t>
  </si>
  <si>
    <t>15h 00m</t>
  </si>
  <si>
    <t>Haul</t>
  </si>
  <si>
    <t>Short</t>
  </si>
  <si>
    <t>Medium</t>
  </si>
  <si>
    <t>Long</t>
  </si>
  <si>
    <t>Short-haul: under 3 hours</t>
  </si>
  <si>
    <t>Medium-haul: 3–6 hours</t>
  </si>
  <si>
    <t>Long-haul: 6+ hours</t>
  </si>
  <si>
    <t>Aircraft ID</t>
  </si>
  <si>
    <t>Fuel Consumed (L)</t>
  </si>
  <si>
    <r>
      <rPr>
        <b/>
        <sz val="12"/>
        <color theme="1"/>
        <rFont val="Garamond"/>
        <family val="1"/>
      </rPr>
      <t>RANDBETWEEN(bottom, top)</t>
    </r>
    <r>
      <rPr>
        <sz val="12"/>
        <color theme="1"/>
        <rFont val="Garamond"/>
        <family val="2"/>
      </rPr>
      <t xml:space="preserve"> — generates a random whole number between two values you specify, inclusive. Every time your sheet recalculates (like pressing Enter anywhere, or F9), it generates a NEW random number. That's important — it means if you're not careful, your numbers will keep changing every time you touch the sheet.</t>
    </r>
  </si>
  <si>
    <t>Burn Rate X Duration</t>
  </si>
  <si>
    <t>Fuel Burn Rate (L/hr)</t>
  </si>
  <si>
    <t>Boeing 777</t>
  </si>
  <si>
    <r>
      <rPr>
        <b/>
        <sz val="12"/>
        <color theme="1"/>
        <rFont val="Garamond"/>
        <family val="1"/>
      </rPr>
      <t>VLOOKUP(lookup_value, table_array, col_index_num, FALSE)</t>
    </r>
    <r>
      <rPr>
        <sz val="12"/>
        <color theme="1"/>
        <rFont val="Garamond"/>
        <family val="2"/>
      </rPr>
      <t xml:space="preserve"> — searches for a value in the first column of a table, and returns a value from a specified column in that same row. The FALSE at the end means "exact match only" (critical — without it, Excel might match something close but wrong).</t>
    </r>
  </si>
  <si>
    <t>Burn Rate (L/hr)</t>
  </si>
  <si>
    <t>Fuel Consumed</t>
  </si>
  <si>
    <t>Here's the formula, typed into your decimal-hours column (let's call it "Duration (hrs)" — rename Column1's header):</t>
  </si>
  <si>
    <t>LEFT(C2,FIND("h",C2)-1) + MID(C2,FIND("h",C2)+2,2)/60</t>
  </si>
  <si>
    <t>By hand</t>
  </si>
  <si>
    <t>Duration By Formula</t>
  </si>
  <si>
    <t>Breaking it down:</t>
  </si>
  <si>
    <t>Add hours + decimal minutes = total</t>
  </si>
  <si>
    <t>FIND("h",C2) — finds the position of "h" in "6h 35m"</t>
  </si>
  <si>
    <t>LEFT(C2,FIND("h",C2)-1) — grabs everything before "h" → "6" (the hours)</t>
  </si>
  <si>
    <t>MID(C2,FIND("h",C2)+2,2) — starting 2 characters after "h" (skipping the space), grabs the next 2 characters → "35" (the minutes)</t>
  </si>
  <si>
    <t>/60 — converts minutes to a decimal fraction</t>
  </si>
  <si>
    <t>Baseline formula: Burn Rate × Duration (hrs)</t>
  </si>
  <si>
    <t>RANDBETWEEN((H2*I2)*0.9, (H2*I2)*1.1)</t>
  </si>
  <si>
    <t>Month</t>
  </si>
  <si>
    <t>Price per Liter ($)</t>
  </si>
  <si>
    <t>FL001</t>
  </si>
  <si>
    <t>FL002</t>
  </si>
  <si>
    <t>FL003</t>
  </si>
  <si>
    <t>FL004</t>
  </si>
  <si>
    <t>FL005</t>
  </si>
  <si>
    <t>FL006</t>
  </si>
  <si>
    <t>FL007</t>
  </si>
  <si>
    <t>FL008</t>
  </si>
  <si>
    <t>FL009</t>
  </si>
  <si>
    <t>FL010</t>
  </si>
  <si>
    <t>FL011</t>
  </si>
  <si>
    <t>FL012</t>
  </si>
  <si>
    <t>FL013</t>
  </si>
  <si>
    <t>FL014</t>
  </si>
  <si>
    <t>FL015</t>
  </si>
  <si>
    <t>FL016</t>
  </si>
  <si>
    <t>FL017</t>
  </si>
  <si>
    <t>FL018</t>
  </si>
  <si>
    <t>FL019</t>
  </si>
  <si>
    <t>FL020</t>
  </si>
  <si>
    <t>FL021</t>
  </si>
  <si>
    <t>FL022</t>
  </si>
  <si>
    <t>FL023</t>
  </si>
  <si>
    <t>FL024</t>
  </si>
  <si>
    <t>FL025</t>
  </si>
  <si>
    <t>FL026</t>
  </si>
  <si>
    <t>FL027</t>
  </si>
  <si>
    <t>FL028</t>
  </si>
  <si>
    <t>FL029</t>
  </si>
  <si>
    <t>FL030</t>
  </si>
  <si>
    <t>FL031</t>
  </si>
  <si>
    <t>FL032</t>
  </si>
  <si>
    <t>FL033</t>
  </si>
  <si>
    <t>FL034</t>
  </si>
  <si>
    <t>FL035</t>
  </si>
  <si>
    <t>FL036</t>
  </si>
  <si>
    <t>FL037</t>
  </si>
  <si>
    <t>FL038</t>
  </si>
  <si>
    <t>FL039</t>
  </si>
  <si>
    <t>FL040</t>
  </si>
  <si>
    <t>FL041</t>
  </si>
  <si>
    <t>FL042</t>
  </si>
  <si>
    <t>FL043</t>
  </si>
  <si>
    <t>FL044</t>
  </si>
  <si>
    <t>FL045</t>
  </si>
  <si>
    <t>FL046</t>
  </si>
  <si>
    <t>FL047</t>
  </si>
  <si>
    <t>FL048</t>
  </si>
  <si>
    <t>Burn Rate (L/hrs)</t>
  </si>
  <si>
    <t>Month Number</t>
  </si>
  <si>
    <t>FL049</t>
  </si>
  <si>
    <t>FL050</t>
  </si>
  <si>
    <t>FL051</t>
  </si>
  <si>
    <t>FL052</t>
  </si>
  <si>
    <t>FL053</t>
  </si>
  <si>
    <t>FL054</t>
  </si>
  <si>
    <t>FL055</t>
  </si>
  <si>
    <t>FL056</t>
  </si>
  <si>
    <t>FL057</t>
  </si>
  <si>
    <t>FL058</t>
  </si>
  <si>
    <t>FL059</t>
  </si>
  <si>
    <t>FL060</t>
  </si>
  <si>
    <t>FL061</t>
  </si>
  <si>
    <t>FL062</t>
  </si>
  <si>
    <t>FL063</t>
  </si>
  <si>
    <t>FL064</t>
  </si>
  <si>
    <t>FL065</t>
  </si>
  <si>
    <t>FL066</t>
  </si>
  <si>
    <t>FL067</t>
  </si>
  <si>
    <t>FL068</t>
  </si>
  <si>
    <t>FL069</t>
  </si>
  <si>
    <t>FL070</t>
  </si>
  <si>
    <t>FL071</t>
  </si>
  <si>
    <t>FL072</t>
  </si>
  <si>
    <t>FL073</t>
  </si>
  <si>
    <t>FL074</t>
  </si>
  <si>
    <t>FL075</t>
  </si>
  <si>
    <t>FL076</t>
  </si>
  <si>
    <t>FL077</t>
  </si>
  <si>
    <t>FL078</t>
  </si>
  <si>
    <t>FL079</t>
  </si>
  <si>
    <t>FL080</t>
  </si>
  <si>
    <t>FL081</t>
  </si>
  <si>
    <t>FL082</t>
  </si>
  <si>
    <t>FL083</t>
  </si>
  <si>
    <t>FL084</t>
  </si>
  <si>
    <t>FL085</t>
  </si>
  <si>
    <t>FL086</t>
  </si>
  <si>
    <t>FL087</t>
  </si>
  <si>
    <t>FL088</t>
  </si>
  <si>
    <t>FL089</t>
  </si>
  <si>
    <t>FL090</t>
  </si>
  <si>
    <t>FL091</t>
  </si>
  <si>
    <t>FL092</t>
  </si>
  <si>
    <t>FL093</t>
  </si>
  <si>
    <t>FL094</t>
  </si>
  <si>
    <t>FL095</t>
  </si>
  <si>
    <t>FL096</t>
  </si>
  <si>
    <t>FL097</t>
  </si>
  <si>
    <t>FL098</t>
  </si>
  <si>
    <t>FL099</t>
  </si>
  <si>
    <t>FL100</t>
  </si>
  <si>
    <t>FL101</t>
  </si>
  <si>
    <t>FL102</t>
  </si>
  <si>
    <t>FL103</t>
  </si>
  <si>
    <t>FL104</t>
  </si>
  <si>
    <t>FL105</t>
  </si>
  <si>
    <t>FL106</t>
  </si>
  <si>
    <t>FL107</t>
  </si>
  <si>
    <t>FL108</t>
  </si>
  <si>
    <t>FL109</t>
  </si>
  <si>
    <t>FL110</t>
  </si>
  <si>
    <t>FL111</t>
  </si>
  <si>
    <t>FL112</t>
  </si>
  <si>
    <t>FL113</t>
  </si>
  <si>
    <t>FL114</t>
  </si>
  <si>
    <t>FL115</t>
  </si>
  <si>
    <t>FL116</t>
  </si>
  <si>
    <t>FL117</t>
  </si>
  <si>
    <t>FL118</t>
  </si>
  <si>
    <t>FL119</t>
  </si>
  <si>
    <t>FL120</t>
  </si>
  <si>
    <t>FL121</t>
  </si>
  <si>
    <t>FL122</t>
  </si>
  <si>
    <t>FL123</t>
  </si>
  <si>
    <t>FL124</t>
  </si>
  <si>
    <t>FL125</t>
  </si>
  <si>
    <t>FL126</t>
  </si>
  <si>
    <t>FL127</t>
  </si>
  <si>
    <t>FL128</t>
  </si>
  <si>
    <t>FL129</t>
  </si>
  <si>
    <t>FL130</t>
  </si>
  <si>
    <t>FL131</t>
  </si>
  <si>
    <t>FL132</t>
  </si>
  <si>
    <t>FL133</t>
  </si>
  <si>
    <t>FL134</t>
  </si>
  <si>
    <t>FL135</t>
  </si>
  <si>
    <t>FL136</t>
  </si>
  <si>
    <t>FL137</t>
  </si>
  <si>
    <t>FL138</t>
  </si>
  <si>
    <t>FL139</t>
  </si>
  <si>
    <t>FL140</t>
  </si>
  <si>
    <t>FL141</t>
  </si>
  <si>
    <t>FL142</t>
  </si>
  <si>
    <t>FL143</t>
  </si>
  <si>
    <t>FL144</t>
  </si>
  <si>
    <t>FL145</t>
  </si>
  <si>
    <t>FL146</t>
  </si>
  <si>
    <t>FL147</t>
  </si>
  <si>
    <t>FL148</t>
  </si>
  <si>
    <t>FL149</t>
  </si>
  <si>
    <t>FL150</t>
  </si>
  <si>
    <t>FL151</t>
  </si>
  <si>
    <t>FL152</t>
  </si>
  <si>
    <t>FL153</t>
  </si>
  <si>
    <t>FL154</t>
  </si>
  <si>
    <t>FL155</t>
  </si>
  <si>
    <t>FL156</t>
  </si>
  <si>
    <t>FL157</t>
  </si>
  <si>
    <t>FL158</t>
  </si>
  <si>
    <t>FL159</t>
  </si>
  <si>
    <t>FL160</t>
  </si>
  <si>
    <t>FL161</t>
  </si>
  <si>
    <t>FL162</t>
  </si>
  <si>
    <t>FL163</t>
  </si>
  <si>
    <t>FL164</t>
  </si>
  <si>
    <t>FL165</t>
  </si>
  <si>
    <t>FL166</t>
  </si>
  <si>
    <t>FL167</t>
  </si>
  <si>
    <t>FL168</t>
  </si>
  <si>
    <t>FL169</t>
  </si>
  <si>
    <t>FL170</t>
  </si>
  <si>
    <t>FL171</t>
  </si>
  <si>
    <t>FL172</t>
  </si>
  <si>
    <t>FL173</t>
  </si>
  <si>
    <t>FL174</t>
  </si>
  <si>
    <t>FL175</t>
  </si>
  <si>
    <t>FL176</t>
  </si>
  <si>
    <t>FL177</t>
  </si>
  <si>
    <t>FL178</t>
  </si>
  <si>
    <t>FL179</t>
  </si>
  <si>
    <t>FL180</t>
  </si>
  <si>
    <t>FL181</t>
  </si>
  <si>
    <t>FL182</t>
  </si>
  <si>
    <t>FL183</t>
  </si>
  <si>
    <t>FL184</t>
  </si>
  <si>
    <t>FL185</t>
  </si>
  <si>
    <t>FL186</t>
  </si>
  <si>
    <t>FL187</t>
  </si>
  <si>
    <t>FL188</t>
  </si>
  <si>
    <t>FL189</t>
  </si>
  <si>
    <t>FL190</t>
  </si>
  <si>
    <t>FL191</t>
  </si>
  <si>
    <t>FL192</t>
  </si>
  <si>
    <t>FL193</t>
  </si>
  <si>
    <t>FL194</t>
  </si>
  <si>
    <t>FL195</t>
  </si>
  <si>
    <t>FL196</t>
  </si>
  <si>
    <t>FL197</t>
  </si>
  <si>
    <t>FL198</t>
  </si>
  <si>
    <t>FL199</t>
  </si>
  <si>
    <t>FL200</t>
  </si>
  <si>
    <t>FL201</t>
  </si>
  <si>
    <t>FL202</t>
  </si>
  <si>
    <t>FL203</t>
  </si>
  <si>
    <t>FL204</t>
  </si>
  <si>
    <t>FL205</t>
  </si>
  <si>
    <t>FL206</t>
  </si>
  <si>
    <t>FL207</t>
  </si>
  <si>
    <t>FL208</t>
  </si>
  <si>
    <t>FL209</t>
  </si>
  <si>
    <t>FL210</t>
  </si>
  <si>
    <t>FL211</t>
  </si>
  <si>
    <t>FL212</t>
  </si>
  <si>
    <t>FL213</t>
  </si>
  <si>
    <t>FL214</t>
  </si>
  <si>
    <t>FL215</t>
  </si>
  <si>
    <t>FL216</t>
  </si>
  <si>
    <t>FL217</t>
  </si>
  <si>
    <t>FL218</t>
  </si>
  <si>
    <t>FL219</t>
  </si>
  <si>
    <t>FL220</t>
  </si>
  <si>
    <t>FL221</t>
  </si>
  <si>
    <t>FL222</t>
  </si>
  <si>
    <t>FL223</t>
  </si>
  <si>
    <t>FL224</t>
  </si>
  <si>
    <t>FL225</t>
  </si>
  <si>
    <t>FL226</t>
  </si>
  <si>
    <t>FL227</t>
  </si>
  <si>
    <t>FL228</t>
  </si>
  <si>
    <t>FL229</t>
  </si>
  <si>
    <t>FL230</t>
  </si>
  <si>
    <t>FL231</t>
  </si>
  <si>
    <t>FL232</t>
  </si>
  <si>
    <t>FL233</t>
  </si>
  <si>
    <t>FL234</t>
  </si>
  <si>
    <t>FL235</t>
  </si>
  <si>
    <t>FL236</t>
  </si>
  <si>
    <t>FL237</t>
  </si>
  <si>
    <t>FL238</t>
  </si>
  <si>
    <t>FL239</t>
  </si>
  <si>
    <t>FL240</t>
  </si>
  <si>
    <t>Row Labels</t>
  </si>
  <si>
    <t>Grand Total</t>
  </si>
  <si>
    <t>Sum of Total Fuel Cost</t>
  </si>
  <si>
    <t>Routes</t>
  </si>
  <si>
    <t>Total Fuel_Cost</t>
  </si>
  <si>
    <t>Fuel per Hour (L)</t>
  </si>
  <si>
    <t>Fuel_Consumed (L)</t>
  </si>
  <si>
    <t>Duration_hrs</t>
  </si>
  <si>
    <t>Jan</t>
  </si>
  <si>
    <t>Feb</t>
  </si>
  <si>
    <t>Mar</t>
  </si>
  <si>
    <t>Apr</t>
  </si>
  <si>
    <t>May</t>
  </si>
  <si>
    <t>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</si>
</sst>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Garamond"/>
      <family val="2"/>
    </font>
    <font>
      <b/>
      <sz val="12"/>
      <color theme="1"/>
      <name val="Garamond"/>
      <family val="2"/>
    </font>
    <font>
      <b/>
      <sz val="13.5"/>
      <color theme="1"/>
      <name val="Garamond"/>
      <family val="2"/>
    </font>
    <font>
      <b/>
      <sz val="12"/>
      <color theme="1"/>
      <name val="Garamond"/>
      <family val="1"/>
    </font>
    <font>
      <sz val="12"/>
      <color theme="1"/>
      <name val="Garamond"/>
      <family val="1"/>
    </font>
    <font>
      <sz val="8"/>
      <name val="Garamond"/>
      <family val="2"/>
    </font>
    <font>
      <b/>
      <sz val="16"/>
      <color theme="1"/>
      <name val="Garamond"/>
      <family val="1"/>
    </font>
    <font>
      <sz val="16"/>
      <color theme="1"/>
      <name val="Garamond"/>
      <family val="1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wrapText="1"/>
    </xf>
    <xf numFmtId="3" fontId="0" fillId="0" borderId="5" xfId="0" applyNumberFormat="1" applyBorder="1"/>
    <xf numFmtId="3" fontId="0" fillId="0" borderId="7" xfId="0" applyNumberFormat="1" applyBorder="1"/>
    <xf numFmtId="0" fontId="0" fillId="0" borderId="2" xfId="0" applyBorder="1" applyAlignment="1">
      <alignment horizontal="left" vertical="center" wrapText="1"/>
    </xf>
    <xf numFmtId="0" fontId="0" fillId="0" borderId="8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0" fontId="3" fillId="0" borderId="0" xfId="0" applyFont="1" applyAlignment="1">
      <alignment wrapText="1"/>
    </xf>
    <xf numFmtId="17" fontId="0" fillId="0" borderId="0" xfId="0" applyNumberFormat="1"/>
    <xf numFmtId="0" fontId="0" fillId="0" borderId="1" xfId="0" applyFont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1" xfId="0" applyBorder="1"/>
    <xf numFmtId="2" fontId="0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wrapText="1"/>
    </xf>
    <xf numFmtId="2" fontId="0" fillId="0" borderId="1" xfId="0" applyNumberFormat="1" applyFont="1" applyFill="1" applyBorder="1" applyAlignment="1">
      <alignment horizontal="center" vertical="center"/>
    </xf>
    <xf numFmtId="14" fontId="0" fillId="0" borderId="1" xfId="0" applyNumberFormat="1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3" fontId="0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0" xfId="0" applyFont="1"/>
    <xf numFmtId="0" fontId="0" fillId="0" borderId="1" xfId="0" pivotButton="1" applyBorder="1"/>
    <xf numFmtId="0" fontId="0" fillId="0" borderId="1" xfId="0" applyBorder="1" applyAlignment="1">
      <alignment horizontal="left"/>
    </xf>
    <xf numFmtId="0" fontId="0" fillId="0" borderId="1" xfId="0" applyNumberFormat="1" applyBorder="1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2" borderId="1" xfId="0" applyNumberFormat="1" applyFill="1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3" fillId="2" borderId="1" xfId="0" applyFont="1" applyFill="1" applyBorder="1"/>
  </cellXfs>
  <cellStyles count="1">
    <cellStyle name="Normal" xfId="0" builtinId="0"/>
  </cellStyles>
  <dxfs count="47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[Excel.xlsx]PivotTable - Route Cost!PivotTable1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Garamond" panose="02020404030301010803" pitchFamily="18" charset="0"/>
                <a:ea typeface="+mn-ea"/>
                <a:cs typeface="+mn-cs"/>
              </a:defRPr>
            </a:pPr>
            <a:r>
              <a:rPr lang="en-US"/>
              <a:t>ROUTE COST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Garamond" panose="02020404030301010803" pitchFamily="18" charset="0"/>
              <a:ea typeface="+mn-ea"/>
              <a:cs typeface="+mn-cs"/>
            </a:defRPr>
          </a:pPr>
          <a:endParaRPr lang="en-PK"/>
        </a:p>
      </c:txPr>
    </c:title>
    <c:autoTitleDeleted val="0"/>
    <c:pivotFmts>
      <c:pivotFmt>
        <c:idx val="0"/>
        <c:spPr>
          <a:solidFill>
            <a:schemeClr val="accent4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4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Garamond" panose="02020404030301010803" pitchFamily="18" charset="0"/>
                  <a:ea typeface="+mn-ea"/>
                  <a:cs typeface="+mn-cs"/>
                </a:defRPr>
              </a:pPr>
              <a:endParaRPr lang="en-PK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'PivotTable - Route Cost'!$B$3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Garamond" panose="02020404030301010803" pitchFamily="18" charset="0"/>
                    <a:ea typeface="+mn-ea"/>
                    <a:cs typeface="+mn-cs"/>
                  </a:defRPr>
                </a:pPr>
                <a:endParaRPr lang="en-PK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'PivotTable - Route Cost'!$A$4:$A$9</c:f>
              <c:strCache>
                <c:ptCount val="5"/>
                <c:pt idx="0">
                  <c:v>Doha → Washington DC</c:v>
                </c:pt>
                <c:pt idx="1">
                  <c:v>Karachi → Islamabad</c:v>
                </c:pt>
                <c:pt idx="2">
                  <c:v>Karachi → Istanbul</c:v>
                </c:pt>
                <c:pt idx="3">
                  <c:v>Karachi → Lahore</c:v>
                </c:pt>
                <c:pt idx="4">
                  <c:v>Karachi → Sri Lanka</c:v>
                </c:pt>
              </c:strCache>
            </c:strRef>
          </c:cat>
          <c:val>
            <c:numRef>
              <c:f>'PivotTable - Route Cost'!$B$4:$B$9</c:f>
              <c:numCache>
                <c:formatCode>General</c:formatCode>
                <c:ptCount val="5"/>
                <c:pt idx="0">
                  <c:v>10195523.6</c:v>
                </c:pt>
                <c:pt idx="1">
                  <c:v>195802.20000000004</c:v>
                </c:pt>
                <c:pt idx="2">
                  <c:v>2440072.2899999996</c:v>
                </c:pt>
                <c:pt idx="3">
                  <c:v>195457.20999999996</c:v>
                </c:pt>
                <c:pt idx="4">
                  <c:v>340102.97000000003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34-4CB7-8643-85847E3F163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42798351"/>
        <c:axId val="242798767"/>
      </c:barChart>
      <c:catAx>
        <c:axId val="2427983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Garamond" panose="02020404030301010803" pitchFamily="18" charset="0"/>
                <a:ea typeface="+mn-ea"/>
                <a:cs typeface="+mn-cs"/>
              </a:defRPr>
            </a:pPr>
            <a:endParaRPr lang="en-PK"/>
          </a:p>
        </c:txPr>
        <c:crossAx val="242798767"/>
        <c:crosses val="autoZero"/>
        <c:auto val="1"/>
        <c:lblAlgn val="ctr"/>
        <c:lblOffset val="100"/>
        <c:noMultiLvlLbl val="0"/>
      </c:catAx>
      <c:valAx>
        <c:axId val="24279876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Garamond" panose="02020404030301010803" pitchFamily="18" charset="0"/>
                <a:ea typeface="+mn-ea"/>
                <a:cs typeface="+mn-cs"/>
              </a:defRPr>
            </a:pPr>
            <a:endParaRPr lang="en-PK"/>
          </a:p>
        </c:txPr>
        <c:crossAx val="242798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Garamond" panose="02020404030301010803" pitchFamily="18" charset="0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>
          <a:latin typeface="Garamond" panose="02020404030301010803" pitchFamily="18" charset="0"/>
        </a:defRPr>
      </a:pPr>
      <a:endParaRPr lang="en-P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Garamond" panose="02020404030301010803" pitchFamily="18" charset="0"/>
              <a:ea typeface="+mn-ea"/>
              <a:cs typeface="+mn-cs"/>
            </a:defRPr>
          </a:pPr>
          <a:endParaRPr lang="en-PK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'PivotTable - Efficiency'!$B$10</c:f>
              <c:strCache>
                <c:ptCount val="1"/>
                <c:pt idx="0">
                  <c:v>Fuel per Hour (L)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strRef>
              <c:f>'PivotTable - Efficiency'!$A$11:$A$15</c:f>
              <c:strCache>
                <c:ptCount val="4"/>
                <c:pt idx="0">
                  <c:v>Airbus A320</c:v>
                </c:pt>
                <c:pt idx="1">
                  <c:v>Airbus A380</c:v>
                </c:pt>
                <c:pt idx="2">
                  <c:v>Boeing 737</c:v>
                </c:pt>
                <c:pt idx="3">
                  <c:v>Boeing 777</c:v>
                </c:pt>
              </c:strCache>
            </c:strRef>
          </c:cat>
          <c:val>
            <c:numRef>
              <c:f>'PivotTable - Efficiency'!$B$11:$B$15</c:f>
              <c:numCache>
                <c:formatCode>General</c:formatCode>
                <c:ptCount val="5"/>
                <c:pt idx="0">
                  <c:v>2490.462121212121</c:v>
                </c:pt>
                <c:pt idx="1">
                  <c:v>17353.516666666666</c:v>
                </c:pt>
                <c:pt idx="2">
                  <c:v>2615.8049738219925</c:v>
                </c:pt>
                <c:pt idx="3">
                  <c:v>9476.8047112461973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5D-4B88-8070-5C9568253A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80332415"/>
        <c:axId val="80329503"/>
        <c:axId val="0"/>
      </c:bar3DChart>
      <c:catAx>
        <c:axId val="80332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Garamond" panose="02020404030301010803" pitchFamily="18" charset="0"/>
                <a:ea typeface="+mn-ea"/>
                <a:cs typeface="+mn-cs"/>
              </a:defRPr>
            </a:pPr>
            <a:endParaRPr lang="en-PK"/>
          </a:p>
        </c:txPr>
        <c:crossAx val="80329503"/>
        <c:crosses val="autoZero"/>
        <c:auto val="1"/>
        <c:lblAlgn val="ctr"/>
        <c:lblOffset val="100"/>
        <c:noMultiLvlLbl val="0"/>
      </c:catAx>
      <c:valAx>
        <c:axId val="80329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Garamond" panose="02020404030301010803" pitchFamily="18" charset="0"/>
                <a:ea typeface="+mn-ea"/>
                <a:cs typeface="+mn-cs"/>
              </a:defRPr>
            </a:pPr>
            <a:endParaRPr lang="en-PK"/>
          </a:p>
        </c:txPr>
        <c:crossAx val="80332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>
          <a:latin typeface="Garamond" panose="02020404030301010803" pitchFamily="18" charset="0"/>
        </a:defRPr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[Excel.xlsx]PivotTable - Monthly Spend!PivotTable3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Garamond" panose="02020404030301010803" pitchFamily="18" charset="0"/>
                <a:ea typeface="+mn-ea"/>
                <a:cs typeface="+mn-cs"/>
              </a:defRPr>
            </a:pPr>
            <a:r>
              <a:rPr lang="en-US"/>
              <a:t>Monthly Spend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Garamond" panose="02020404030301010803" pitchFamily="18" charset="0"/>
              <a:ea typeface="+mn-ea"/>
              <a:cs typeface="+mn-cs"/>
            </a:defRPr>
          </a:pPr>
          <a:endParaRPr lang="en-PK"/>
        </a:p>
      </c:txPr>
    </c:title>
    <c:autoTitleDeleted val="0"/>
    <c:pivotFmts>
      <c:pivotFmt>
        <c:idx val="0"/>
        <c:spPr>
          <a:ln w="31750" cap="rnd">
            <a:solidFill>
              <a:schemeClr val="accent2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Garamond" panose="02020404030301010803" pitchFamily="18" charset="0"/>
                  <a:ea typeface="+mn-ea"/>
                  <a:cs typeface="+mn-cs"/>
                </a:defRPr>
              </a:pPr>
              <a:endParaRPr lang="en-PK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'PivotTable - Monthly Spend'!$B$3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Garamond" panose="02020404030301010803" pitchFamily="18" charset="0"/>
                    <a:ea typeface="+mn-ea"/>
                    <a:cs typeface="+mn-cs"/>
                  </a:defRPr>
                </a:pPr>
                <a:endParaRPr lang="en-PK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'PivotTable - Monthly Spend'!$A$4:$A$10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'PivotTable - Monthly Spend'!$B$4:$B$10</c:f>
              <c:numCache>
                <c:formatCode>General</c:formatCode>
                <c:ptCount val="6"/>
                <c:pt idx="0">
                  <c:v>1881619.6</c:v>
                </c:pt>
                <c:pt idx="1">
                  <c:v>2018771.25</c:v>
                </c:pt>
                <c:pt idx="2">
                  <c:v>2151748.7999999998</c:v>
                </c:pt>
                <c:pt idx="3">
                  <c:v>2401078.3000000003</c:v>
                </c:pt>
                <c:pt idx="4">
                  <c:v>2425311.0000000005</c:v>
                </c:pt>
                <c:pt idx="5">
                  <c:v>2488429.3199999998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88-4A3D-AD34-571256CBC0A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8216463"/>
        <c:axId val="158209807"/>
      </c:lineChart>
      <c:catAx>
        <c:axId val="158216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Garamond" panose="02020404030301010803" pitchFamily="18" charset="0"/>
                <a:ea typeface="+mn-ea"/>
                <a:cs typeface="+mn-cs"/>
              </a:defRPr>
            </a:pPr>
            <a:endParaRPr lang="en-PK"/>
          </a:p>
        </c:txPr>
        <c:crossAx val="158209807"/>
        <c:crosses val="autoZero"/>
        <c:auto val="1"/>
        <c:lblAlgn val="ctr"/>
        <c:lblOffset val="100"/>
        <c:noMultiLvlLbl val="0"/>
      </c:catAx>
      <c:valAx>
        <c:axId val="15820980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58216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Garamond" panose="02020404030301010803" pitchFamily="18" charset="0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>
          <a:latin typeface="Garamond" panose="02020404030301010803" pitchFamily="18" charset="0"/>
        </a:defRPr>
      </a:pPr>
      <a:endParaRPr lang="en-P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690561</xdr:colOff>
      <xdr:row>9</xdr:row>
      <xdr:rowOff>176212</xdr:rowOff>
    </xdr:from>
    <xdr:to>
      <xdr:col>7</xdr:col>
      <xdr:colOff>676274</xdr:colOff>
      <xdr:row>23</xdr:row>
      <xdr:rowOff>119062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CC842E-F72C-4B70-8585-192D084E04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14287</xdr:colOff>
      <xdr:row>9</xdr:row>
      <xdr:rowOff>23812</xdr:rowOff>
    </xdr:from>
    <xdr:to>
      <xdr:col>9</xdr:col>
      <xdr:colOff>14287</xdr:colOff>
      <xdr:row>22</xdr:row>
      <xdr:rowOff>166687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3CD2FF7-CB37-4385-A08F-C6705954F9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909637</xdr:colOff>
      <xdr:row>11</xdr:row>
      <xdr:rowOff>42862</xdr:rowOff>
    </xdr:from>
    <xdr:to>
      <xdr:col>6</xdr:col>
      <xdr:colOff>176212</xdr:colOff>
      <xdr:row>24</xdr:row>
      <xdr:rowOff>185737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57BC06-CF2F-4EE7-89A6-EE49538416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maisa Shujaat" refreshedDate="46255.881245486111" createdVersion="7" refreshedVersion="7" minRefreshableVersion="3" recordCount="240" xr:uid="{EBFBA3B7-55B6-409A-BB25-C262BCC76002}">
  <cacheSource type="worksheet">
    <worksheetSource ref="A1:I241" sheet="Working sheet"/>
  </cacheSource>
  <cacheFields count="10">
    <cacheField name="Aircraft ID" numFmtId="0">
      <sharedItems/>
    </cacheField>
    <cacheField name="Aircraft Type" numFmtId="0">
      <sharedItems count="4">
        <s v="Airbus A320"/>
        <s v="Boeing 737"/>
        <s v="Boeing 777"/>
        <s v="Airbus A380"/>
      </sharedItems>
    </cacheField>
    <cacheField name="Route" numFmtId="0">
      <sharedItems count="5">
        <s v="Karachi → Islamabad"/>
        <s v="Karachi → Lahore"/>
        <s v="Karachi → Sri Lanka"/>
        <s v="Karachi → Istanbul"/>
        <s v="Doha → Washington DC"/>
      </sharedItems>
    </cacheField>
    <cacheField name="Date" numFmtId="14">
      <sharedItems containsSemiMixedTypes="0" containsNonDate="0" containsDate="1" containsString="0" minDate="2026-01-01T00:00:00" maxDate="2026-06-29T00:00:00" count="130">
        <d v="2026-01-17T00:00:00"/>
        <d v="2026-01-15T00:00:00"/>
        <d v="2026-01-05T00:00:00"/>
        <d v="2026-01-21T00:00:00"/>
        <d v="2026-01-20T00:00:00"/>
        <d v="2026-01-09T00:00:00"/>
        <d v="2026-01-26T00:00:00"/>
        <d v="2026-02-18T00:00:00"/>
        <d v="2026-02-05T00:00:00"/>
        <d v="2026-02-16T00:00:00"/>
        <d v="2026-02-03T00:00:00"/>
        <d v="2026-02-14T00:00:00"/>
        <d v="2026-02-08T00:00:00"/>
        <d v="2026-02-11T00:00:00"/>
        <d v="2026-02-12T00:00:00"/>
        <d v="2026-03-20T00:00:00"/>
        <d v="2026-03-14T00:00:00"/>
        <d v="2026-03-02T00:00:00"/>
        <d v="2026-03-24T00:00:00"/>
        <d v="2026-03-23T00:00:00"/>
        <d v="2026-03-15T00:00:00"/>
        <d v="2026-03-04T00:00:00"/>
        <d v="2026-04-25T00:00:00"/>
        <d v="2026-04-17T00:00:00"/>
        <d v="2026-04-05T00:00:00"/>
        <d v="2026-04-28T00:00:00"/>
        <d v="2026-04-21T00:00:00"/>
        <d v="2026-04-18T00:00:00"/>
        <d v="2026-05-03T00:00:00"/>
        <d v="2026-05-24T00:00:00"/>
        <d v="2026-05-20T00:00:00"/>
        <d v="2026-05-07T00:00:00"/>
        <d v="2026-05-27T00:00:00"/>
        <d v="2026-05-13T00:00:00"/>
        <d v="2026-05-22T00:00:00"/>
        <d v="2026-05-15T00:00:00"/>
        <d v="2026-06-03T00:00:00"/>
        <d v="2026-06-17T00:00:00"/>
        <d v="2026-06-24T00:00:00"/>
        <d v="2026-06-12T00:00:00"/>
        <d v="2026-06-07T00:00:00"/>
        <d v="2026-06-25T00:00:00"/>
        <d v="2026-06-28T00:00:00"/>
        <d v="2026-01-10T00:00:00"/>
        <d v="2026-01-03T00:00:00"/>
        <d v="2026-01-07T00:00:00"/>
        <d v="2026-01-19T00:00:00"/>
        <d v="2026-01-28T00:00:00"/>
        <d v="2026-01-08T00:00:00"/>
        <d v="2026-02-26T00:00:00"/>
        <d v="2026-02-07T00:00:00"/>
        <d v="2026-02-06T00:00:00"/>
        <d v="2026-02-22T00:00:00"/>
        <d v="2026-02-10T00:00:00"/>
        <d v="2026-02-17T00:00:00"/>
        <d v="2026-02-23T00:00:00"/>
        <d v="2026-02-19T00:00:00"/>
        <d v="2026-03-05T00:00:00"/>
        <d v="2026-03-11T00:00:00"/>
        <d v="2026-03-13T00:00:00"/>
        <d v="2026-03-26T00:00:00"/>
        <d v="2026-03-01T00:00:00"/>
        <d v="2026-04-06T00:00:00"/>
        <d v="2026-04-11T00:00:00"/>
        <d v="2026-04-16T00:00:00"/>
        <d v="2026-04-26T00:00:00"/>
        <d v="2026-04-02T00:00:00"/>
        <d v="2026-05-16T00:00:00"/>
        <d v="2026-05-10T00:00:00"/>
        <d v="2026-06-04T00:00:00"/>
        <d v="2026-06-02T00:00:00"/>
        <d v="2026-06-10T00:00:00"/>
        <d v="2026-06-06T00:00:00"/>
        <d v="2026-01-01T00:00:00"/>
        <d v="2026-01-11T00:00:00"/>
        <d v="2026-01-25T00:00:00"/>
        <d v="2026-02-28T00:00:00"/>
        <d v="2026-02-02T00:00:00"/>
        <d v="2026-02-25T00:00:00"/>
        <d v="2026-03-08T00:00:00"/>
        <d v="2026-03-07T00:00:00"/>
        <d v="2026-03-21T00:00:00"/>
        <d v="2026-03-16T00:00:00"/>
        <d v="2026-03-27T00:00:00"/>
        <d v="2026-04-07T00:00:00"/>
        <d v="2026-04-13T00:00:00"/>
        <d v="2026-04-27T00:00:00"/>
        <d v="2026-05-14T00:00:00"/>
        <d v="2026-05-19T00:00:00"/>
        <d v="2026-05-05T00:00:00"/>
        <d v="2026-05-09T00:00:00"/>
        <d v="2026-05-12T00:00:00"/>
        <d v="2026-05-01T00:00:00"/>
        <d v="2026-06-11T00:00:00"/>
        <d v="2026-06-19T00:00:00"/>
        <d v="2026-06-15T00:00:00"/>
        <d v="2026-01-16T00:00:00"/>
        <d v="2026-02-04T00:00:00"/>
        <d v="2026-02-09T00:00:00"/>
        <d v="2026-03-17T00:00:00"/>
        <d v="2026-03-22T00:00:00"/>
        <d v="2026-03-18T00:00:00"/>
        <d v="2026-04-01T00:00:00"/>
        <d v="2026-04-20T00:00:00"/>
        <d v="2026-05-02T00:00:00"/>
        <d v="2026-05-04T00:00:00"/>
        <d v="2026-05-17T00:00:00"/>
        <d v="2026-06-08T00:00:00"/>
        <d v="2026-06-13T00:00:00"/>
        <d v="2026-06-23T00:00:00"/>
        <d v="2026-06-01T00:00:00"/>
        <d v="2026-01-14T00:00:00"/>
        <d v="2026-01-12T00:00:00"/>
        <d v="2026-01-23T00:00:00"/>
        <d v="2026-01-13T00:00:00"/>
        <d v="2026-01-02T00:00:00"/>
        <d v="2026-02-01T00:00:00"/>
        <d v="2026-03-09T00:00:00"/>
        <d v="2026-04-22T00:00:00"/>
        <d v="2026-04-23T00:00:00"/>
        <d v="2026-04-12T00:00:00"/>
        <d v="2026-04-08T00:00:00"/>
        <d v="2026-04-24T00:00:00"/>
        <d v="2026-05-21T00:00:00"/>
        <d v="2026-05-23T00:00:00"/>
        <d v="2026-05-08T00:00:00"/>
        <d v="2026-05-11T00:00:00"/>
        <d v="2026-06-16T00:00:00"/>
        <d v="2026-06-27T00:00:00"/>
        <d v="2026-06-26T00:00:00"/>
      </sharedItems>
      <fieldGroup par="9" base="3">
        <rangePr groupBy="days" startDate="2026-01-01T00:00:00" endDate="2026-06-29T00:00:00"/>
        <groupItems count="368">
          <s v="&lt;01/01/2026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t"/>
          <s v="02-Sept"/>
          <s v="03-Sept"/>
          <s v="04-Sept"/>
          <s v="05-Sept"/>
          <s v="06-Sept"/>
          <s v="07-Sept"/>
          <s v="08-Sept"/>
          <s v="09-Sept"/>
          <s v="10-Sept"/>
          <s v="11-Sept"/>
          <s v="12-Sept"/>
          <s v="13-Sept"/>
          <s v="14-Sept"/>
          <s v="15-Sept"/>
          <s v="16-Sept"/>
          <s v="17-Sept"/>
          <s v="18-Sept"/>
          <s v="19-Sept"/>
          <s v="20-Sept"/>
          <s v="21-Sept"/>
          <s v="22-Sept"/>
          <s v="23-Sept"/>
          <s v="24-Sept"/>
          <s v="25-Sept"/>
          <s v="26-Sept"/>
          <s v="27-Sept"/>
          <s v="28-Sept"/>
          <s v="29-Sept"/>
          <s v="30-Sept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9/06/2026"/>
        </groupItems>
      </fieldGroup>
    </cacheField>
    <cacheField name="Burn Rate (L/hrs)" numFmtId="0">
      <sharedItems containsSemiMixedTypes="0" containsString="0" containsNumber="1" containsInteger="1" minValue="2500" maxValue="17400"/>
    </cacheField>
    <cacheField name="Duration (hrs)" numFmtId="2">
      <sharedItems containsSemiMixedTypes="0" containsString="0" containsNumber="1" minValue="1.91" maxValue="15"/>
    </cacheField>
    <cacheField name="Fuel Consumed (L)" numFmtId="0">
      <sharedItems containsSemiMixedTypes="0" containsString="0" containsNumber="1" containsInteger="1" minValue="4480" maxValue="285443"/>
    </cacheField>
    <cacheField name="Price per Liter" numFmtId="0">
      <sharedItems containsSemiMixedTypes="0" containsString="0" containsNumber="1" minValue="0.7" maxValue="0.9"/>
    </cacheField>
    <cacheField name="Total Fuel Cost" numFmtId="0">
      <sharedItems containsSemiMixedTypes="0" containsString="0" containsNumber="1" minValue="3163.2999999999997" maxValue="254044.27"/>
    </cacheField>
    <cacheField name="Months" numFmtId="0" databaseField="0">
      <fieldGroup base="3">
        <rangePr groupBy="months" startDate="2026-01-01T00:00:00" endDate="2026-06-29T00:00:00"/>
        <groupItems count="14">
          <s v="&lt;01/01/2026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29/06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0">
  <r>
    <s v="FL001"/>
    <x v="0"/>
    <x v="0"/>
    <x v="0"/>
    <n v="2500"/>
    <n v="2"/>
    <n v="5409"/>
    <n v="0.7"/>
    <n v="3786.2999999999997"/>
  </r>
  <r>
    <s v="FL002"/>
    <x v="0"/>
    <x v="0"/>
    <x v="1"/>
    <n v="2500"/>
    <n v="2"/>
    <n v="4814"/>
    <n v="0.7"/>
    <n v="3369.7999999999997"/>
  </r>
  <r>
    <s v="FL003"/>
    <x v="0"/>
    <x v="0"/>
    <x v="2"/>
    <n v="2500"/>
    <n v="2"/>
    <n v="5252"/>
    <n v="0.7"/>
    <n v="3676.3999999999996"/>
  </r>
  <r>
    <s v="FL004"/>
    <x v="0"/>
    <x v="0"/>
    <x v="3"/>
    <n v="2500"/>
    <n v="2"/>
    <n v="5213"/>
    <n v="0.7"/>
    <n v="3649.1"/>
  </r>
  <r>
    <s v="FL005"/>
    <x v="0"/>
    <x v="0"/>
    <x v="4"/>
    <n v="2500"/>
    <n v="2"/>
    <n v="4964"/>
    <n v="0.7"/>
    <n v="3474.7999999999997"/>
  </r>
  <r>
    <s v="FL006"/>
    <x v="0"/>
    <x v="0"/>
    <x v="4"/>
    <n v="2500"/>
    <n v="2"/>
    <n v="5226"/>
    <n v="0.7"/>
    <n v="3658.2"/>
  </r>
  <r>
    <s v="FL007"/>
    <x v="0"/>
    <x v="0"/>
    <x v="5"/>
    <n v="2500"/>
    <n v="2"/>
    <n v="5299"/>
    <n v="0.7"/>
    <n v="3709.2999999999997"/>
  </r>
  <r>
    <s v="FL008"/>
    <x v="0"/>
    <x v="0"/>
    <x v="6"/>
    <n v="2500"/>
    <n v="2"/>
    <n v="5254"/>
    <n v="0.7"/>
    <n v="3677.7999999999997"/>
  </r>
  <r>
    <s v="FL009"/>
    <x v="0"/>
    <x v="0"/>
    <x v="7"/>
    <n v="2500"/>
    <n v="2"/>
    <n v="5006"/>
    <n v="0.75"/>
    <n v="3754.5"/>
  </r>
  <r>
    <s v="FL010"/>
    <x v="0"/>
    <x v="0"/>
    <x v="8"/>
    <n v="2500"/>
    <n v="2"/>
    <n v="4934"/>
    <n v="0.75"/>
    <n v="3700.5"/>
  </r>
  <r>
    <s v="FL011"/>
    <x v="0"/>
    <x v="0"/>
    <x v="9"/>
    <n v="2500"/>
    <n v="2"/>
    <n v="4768"/>
    <n v="0.75"/>
    <n v="3576"/>
  </r>
  <r>
    <s v="FL012"/>
    <x v="0"/>
    <x v="0"/>
    <x v="10"/>
    <n v="2500"/>
    <n v="2"/>
    <n v="4745"/>
    <n v="0.75"/>
    <n v="3558.75"/>
  </r>
  <r>
    <s v="FL013"/>
    <x v="0"/>
    <x v="0"/>
    <x v="11"/>
    <n v="2500"/>
    <n v="2"/>
    <n v="4735"/>
    <n v="0.75"/>
    <n v="3551.25"/>
  </r>
  <r>
    <s v="FL014"/>
    <x v="0"/>
    <x v="0"/>
    <x v="12"/>
    <n v="2500"/>
    <n v="2"/>
    <n v="5300"/>
    <n v="0.75"/>
    <n v="3975"/>
  </r>
  <r>
    <s v="FL015"/>
    <x v="0"/>
    <x v="0"/>
    <x v="13"/>
    <n v="2500"/>
    <n v="2"/>
    <n v="4918"/>
    <n v="0.75"/>
    <n v="3688.5"/>
  </r>
  <r>
    <s v="FL016"/>
    <x v="0"/>
    <x v="0"/>
    <x v="14"/>
    <n v="2500"/>
    <n v="2"/>
    <n v="4582"/>
    <n v="0.75"/>
    <n v="3436.5"/>
  </r>
  <r>
    <s v="FL017"/>
    <x v="0"/>
    <x v="0"/>
    <x v="15"/>
    <n v="2500"/>
    <n v="2"/>
    <n v="5296"/>
    <n v="0.8"/>
    <n v="4236.8"/>
  </r>
  <r>
    <s v="FL018"/>
    <x v="0"/>
    <x v="0"/>
    <x v="16"/>
    <n v="2500"/>
    <n v="2"/>
    <n v="4818"/>
    <n v="0.8"/>
    <n v="3854.4"/>
  </r>
  <r>
    <s v="FL019"/>
    <x v="0"/>
    <x v="0"/>
    <x v="17"/>
    <n v="2500"/>
    <n v="2"/>
    <n v="5392"/>
    <n v="0.8"/>
    <n v="4313.6000000000004"/>
  </r>
  <r>
    <s v="FL020"/>
    <x v="0"/>
    <x v="0"/>
    <x v="18"/>
    <n v="2500"/>
    <n v="2"/>
    <n v="5125"/>
    <n v="0.8"/>
    <n v="4100"/>
  </r>
  <r>
    <s v="FL021"/>
    <x v="0"/>
    <x v="0"/>
    <x v="19"/>
    <n v="2500"/>
    <n v="2"/>
    <n v="4858"/>
    <n v="0.8"/>
    <n v="3886.4"/>
  </r>
  <r>
    <s v="FL022"/>
    <x v="0"/>
    <x v="0"/>
    <x v="20"/>
    <n v="2500"/>
    <n v="2"/>
    <n v="4657"/>
    <n v="0.8"/>
    <n v="3725.6000000000004"/>
  </r>
  <r>
    <s v="FL023"/>
    <x v="0"/>
    <x v="0"/>
    <x v="16"/>
    <n v="2500"/>
    <n v="2"/>
    <n v="4976"/>
    <n v="0.8"/>
    <n v="3980.8"/>
  </r>
  <r>
    <s v="FL024"/>
    <x v="0"/>
    <x v="0"/>
    <x v="21"/>
    <n v="2500"/>
    <n v="2"/>
    <n v="5285"/>
    <n v="0.8"/>
    <n v="4228"/>
  </r>
  <r>
    <s v="FL025"/>
    <x v="0"/>
    <x v="0"/>
    <x v="22"/>
    <n v="2500"/>
    <n v="2"/>
    <n v="5304"/>
    <n v="0.85"/>
    <n v="4508.3999999999996"/>
  </r>
  <r>
    <s v="FL026"/>
    <x v="0"/>
    <x v="0"/>
    <x v="23"/>
    <n v="2500"/>
    <n v="2"/>
    <n v="5086"/>
    <n v="0.85"/>
    <n v="4323.0999999999995"/>
  </r>
  <r>
    <s v="FL027"/>
    <x v="0"/>
    <x v="0"/>
    <x v="24"/>
    <n v="2500"/>
    <n v="2"/>
    <n v="4929"/>
    <n v="0.85"/>
    <n v="4189.6499999999996"/>
  </r>
  <r>
    <s v="FL028"/>
    <x v="0"/>
    <x v="0"/>
    <x v="22"/>
    <n v="2500"/>
    <n v="2"/>
    <n v="4520"/>
    <n v="0.85"/>
    <n v="3842"/>
  </r>
  <r>
    <s v="FL029"/>
    <x v="0"/>
    <x v="0"/>
    <x v="25"/>
    <n v="2500"/>
    <n v="2"/>
    <n v="5153"/>
    <n v="0.85"/>
    <n v="4380.05"/>
  </r>
  <r>
    <s v="FL030"/>
    <x v="0"/>
    <x v="0"/>
    <x v="23"/>
    <n v="2500"/>
    <n v="2"/>
    <n v="4812"/>
    <n v="0.85"/>
    <n v="4090.2"/>
  </r>
  <r>
    <s v="FL031"/>
    <x v="0"/>
    <x v="0"/>
    <x v="26"/>
    <n v="2500"/>
    <n v="2"/>
    <n v="5195"/>
    <n v="0.85"/>
    <n v="4415.75"/>
  </r>
  <r>
    <s v="FL032"/>
    <x v="0"/>
    <x v="0"/>
    <x v="27"/>
    <n v="2500"/>
    <n v="2"/>
    <n v="4992"/>
    <n v="0.85"/>
    <n v="4243.2"/>
  </r>
  <r>
    <s v="FL033"/>
    <x v="0"/>
    <x v="0"/>
    <x v="28"/>
    <n v="2500"/>
    <n v="2"/>
    <n v="5114"/>
    <n v="0.9"/>
    <n v="4602.6000000000004"/>
  </r>
  <r>
    <s v="FL034"/>
    <x v="0"/>
    <x v="0"/>
    <x v="29"/>
    <n v="2500"/>
    <n v="2"/>
    <n v="4856"/>
    <n v="0.9"/>
    <n v="4370.4000000000005"/>
  </r>
  <r>
    <s v="FL035"/>
    <x v="0"/>
    <x v="0"/>
    <x v="30"/>
    <n v="2500"/>
    <n v="2"/>
    <n v="4827"/>
    <n v="0.9"/>
    <n v="4344.3"/>
  </r>
  <r>
    <s v="FL036"/>
    <x v="0"/>
    <x v="0"/>
    <x v="31"/>
    <n v="2500"/>
    <n v="2"/>
    <n v="5474"/>
    <n v="0.9"/>
    <n v="4926.6000000000004"/>
  </r>
  <r>
    <s v="FL037"/>
    <x v="0"/>
    <x v="0"/>
    <x v="32"/>
    <n v="2500"/>
    <n v="2"/>
    <n v="4709"/>
    <n v="0.9"/>
    <n v="4238.1000000000004"/>
  </r>
  <r>
    <s v="FL038"/>
    <x v="0"/>
    <x v="0"/>
    <x v="33"/>
    <n v="2500"/>
    <n v="2"/>
    <n v="5284"/>
    <n v="0.9"/>
    <n v="4755.6000000000004"/>
  </r>
  <r>
    <s v="FL039"/>
    <x v="0"/>
    <x v="0"/>
    <x v="34"/>
    <n v="2500"/>
    <n v="2"/>
    <n v="4992"/>
    <n v="0.9"/>
    <n v="4492.8"/>
  </r>
  <r>
    <s v="FL040"/>
    <x v="0"/>
    <x v="0"/>
    <x v="35"/>
    <n v="2500"/>
    <n v="2"/>
    <n v="4588"/>
    <n v="0.9"/>
    <n v="4129.2"/>
  </r>
  <r>
    <s v="FL041"/>
    <x v="0"/>
    <x v="0"/>
    <x v="36"/>
    <n v="2500"/>
    <n v="2"/>
    <n v="4503"/>
    <n v="0.89"/>
    <n v="4007.67"/>
  </r>
  <r>
    <s v="FL042"/>
    <x v="0"/>
    <x v="0"/>
    <x v="37"/>
    <n v="2500"/>
    <n v="2"/>
    <n v="4559"/>
    <n v="0.89"/>
    <n v="4057.51"/>
  </r>
  <r>
    <s v="FL043"/>
    <x v="0"/>
    <x v="0"/>
    <x v="38"/>
    <n v="2500"/>
    <n v="2"/>
    <n v="5069"/>
    <n v="0.89"/>
    <n v="4511.41"/>
  </r>
  <r>
    <s v="FL044"/>
    <x v="0"/>
    <x v="0"/>
    <x v="39"/>
    <n v="2500"/>
    <n v="2"/>
    <n v="5106"/>
    <n v="0.89"/>
    <n v="4544.34"/>
  </r>
  <r>
    <s v="FL045"/>
    <x v="0"/>
    <x v="0"/>
    <x v="37"/>
    <n v="2500"/>
    <n v="2"/>
    <n v="5204"/>
    <n v="0.89"/>
    <n v="4631.5600000000004"/>
  </r>
  <r>
    <s v="FL046"/>
    <x v="0"/>
    <x v="0"/>
    <x v="40"/>
    <n v="2500"/>
    <n v="2"/>
    <n v="5478"/>
    <n v="0.89"/>
    <n v="4875.42"/>
  </r>
  <r>
    <s v="FL047"/>
    <x v="0"/>
    <x v="0"/>
    <x v="41"/>
    <n v="2500"/>
    <n v="2"/>
    <n v="4634"/>
    <n v="0.89"/>
    <n v="4124.26"/>
  </r>
  <r>
    <s v="FL048"/>
    <x v="0"/>
    <x v="0"/>
    <x v="42"/>
    <n v="2500"/>
    <n v="2"/>
    <n v="5202"/>
    <n v="0.89"/>
    <n v="4629.78"/>
  </r>
  <r>
    <s v="FL049"/>
    <x v="1"/>
    <x v="1"/>
    <x v="43"/>
    <n v="2600"/>
    <n v="1.91"/>
    <n v="4565"/>
    <n v="0.7"/>
    <n v="3195.5"/>
  </r>
  <r>
    <s v="FL050"/>
    <x v="1"/>
    <x v="1"/>
    <x v="44"/>
    <n v="2600"/>
    <n v="1.91"/>
    <n v="5428"/>
    <n v="0.7"/>
    <n v="3799.6"/>
  </r>
  <r>
    <s v="FL051"/>
    <x v="1"/>
    <x v="1"/>
    <x v="45"/>
    <n v="2600"/>
    <n v="1.91"/>
    <n v="5401"/>
    <n v="0.7"/>
    <n v="3780.7"/>
  </r>
  <r>
    <s v="FL052"/>
    <x v="1"/>
    <x v="1"/>
    <x v="46"/>
    <n v="2600"/>
    <n v="1.91"/>
    <n v="4519"/>
    <n v="0.7"/>
    <n v="3163.2999999999997"/>
  </r>
  <r>
    <s v="FL053"/>
    <x v="1"/>
    <x v="1"/>
    <x v="47"/>
    <n v="2600"/>
    <n v="1.91"/>
    <n v="5316"/>
    <n v="0.7"/>
    <n v="3721.2"/>
  </r>
  <r>
    <s v="FL054"/>
    <x v="1"/>
    <x v="1"/>
    <x v="48"/>
    <n v="2600"/>
    <n v="1.91"/>
    <n v="4850"/>
    <n v="0.7"/>
    <n v="3395"/>
  </r>
  <r>
    <s v="FL055"/>
    <x v="1"/>
    <x v="1"/>
    <x v="2"/>
    <n v="2600"/>
    <n v="1.91"/>
    <n v="5251"/>
    <n v="0.7"/>
    <n v="3675.7"/>
  </r>
  <r>
    <s v="FL056"/>
    <x v="1"/>
    <x v="1"/>
    <x v="6"/>
    <n v="2600"/>
    <n v="1.91"/>
    <n v="4621"/>
    <n v="0.7"/>
    <n v="3234.7"/>
  </r>
  <r>
    <s v="FL057"/>
    <x v="1"/>
    <x v="1"/>
    <x v="49"/>
    <n v="2600"/>
    <n v="1.91"/>
    <n v="4949"/>
    <n v="0.75"/>
    <n v="3711.75"/>
  </r>
  <r>
    <s v="FL058"/>
    <x v="1"/>
    <x v="1"/>
    <x v="50"/>
    <n v="2600"/>
    <n v="1.91"/>
    <n v="5462"/>
    <n v="0.75"/>
    <n v="4096.5"/>
  </r>
  <r>
    <s v="FL059"/>
    <x v="1"/>
    <x v="1"/>
    <x v="51"/>
    <n v="2600"/>
    <n v="1.91"/>
    <n v="5411"/>
    <n v="0.75"/>
    <n v="4058.25"/>
  </r>
  <r>
    <s v="FL060"/>
    <x v="1"/>
    <x v="1"/>
    <x v="52"/>
    <n v="2600"/>
    <n v="1.91"/>
    <n v="4735"/>
    <n v="0.75"/>
    <n v="3551.25"/>
  </r>
  <r>
    <s v="FL061"/>
    <x v="1"/>
    <x v="1"/>
    <x v="53"/>
    <n v="2600"/>
    <n v="1.91"/>
    <n v="4670"/>
    <n v="0.75"/>
    <n v="3502.5"/>
  </r>
  <r>
    <s v="FL062"/>
    <x v="1"/>
    <x v="1"/>
    <x v="54"/>
    <n v="2600"/>
    <n v="1.91"/>
    <n v="5294"/>
    <n v="0.75"/>
    <n v="3970.5"/>
  </r>
  <r>
    <s v="FL063"/>
    <x v="1"/>
    <x v="1"/>
    <x v="55"/>
    <n v="2600"/>
    <n v="1.91"/>
    <n v="4722"/>
    <n v="0.75"/>
    <n v="3541.5"/>
  </r>
  <r>
    <s v="FL064"/>
    <x v="1"/>
    <x v="1"/>
    <x v="56"/>
    <n v="2600"/>
    <n v="1.91"/>
    <n v="4662"/>
    <n v="0.75"/>
    <n v="3496.5"/>
  </r>
  <r>
    <s v="FL065"/>
    <x v="1"/>
    <x v="1"/>
    <x v="15"/>
    <n v="2600"/>
    <n v="1.91"/>
    <n v="4772"/>
    <n v="0.8"/>
    <n v="3817.6000000000004"/>
  </r>
  <r>
    <s v="FL066"/>
    <x v="1"/>
    <x v="1"/>
    <x v="21"/>
    <n v="2600"/>
    <n v="1.91"/>
    <n v="4996"/>
    <n v="0.8"/>
    <n v="3996.8"/>
  </r>
  <r>
    <s v="FL067"/>
    <x v="1"/>
    <x v="1"/>
    <x v="57"/>
    <n v="2600"/>
    <n v="1.91"/>
    <n v="4913"/>
    <n v="0.8"/>
    <n v="3930.4"/>
  </r>
  <r>
    <s v="FL068"/>
    <x v="1"/>
    <x v="1"/>
    <x v="58"/>
    <n v="2600"/>
    <n v="1.91"/>
    <n v="4956"/>
    <n v="0.8"/>
    <n v="3964.8"/>
  </r>
  <r>
    <s v="FL069"/>
    <x v="1"/>
    <x v="1"/>
    <x v="21"/>
    <n v="2600"/>
    <n v="1.91"/>
    <n v="5410"/>
    <n v="0.8"/>
    <n v="4328"/>
  </r>
  <r>
    <s v="FL070"/>
    <x v="1"/>
    <x v="1"/>
    <x v="59"/>
    <n v="2600"/>
    <n v="1.91"/>
    <n v="4939"/>
    <n v="0.8"/>
    <n v="3951.2000000000003"/>
  </r>
  <r>
    <s v="FL071"/>
    <x v="1"/>
    <x v="1"/>
    <x v="60"/>
    <n v="2600"/>
    <n v="1.91"/>
    <n v="4984"/>
    <n v="0.8"/>
    <n v="3987.2000000000003"/>
  </r>
  <r>
    <s v="FL072"/>
    <x v="1"/>
    <x v="1"/>
    <x v="61"/>
    <n v="2600"/>
    <n v="1.91"/>
    <n v="4944"/>
    <n v="0.8"/>
    <n v="3955.2000000000003"/>
  </r>
  <r>
    <s v="FL073"/>
    <x v="1"/>
    <x v="1"/>
    <x v="62"/>
    <n v="2600"/>
    <n v="1.91"/>
    <n v="5361"/>
    <n v="0.85"/>
    <n v="4556.8499999999995"/>
  </r>
  <r>
    <s v="FL074"/>
    <x v="1"/>
    <x v="1"/>
    <x v="63"/>
    <n v="2600"/>
    <n v="1.91"/>
    <n v="5079"/>
    <n v="0.85"/>
    <n v="4317.1499999999996"/>
  </r>
  <r>
    <s v="FL075"/>
    <x v="1"/>
    <x v="1"/>
    <x v="24"/>
    <n v="2600"/>
    <n v="1.91"/>
    <n v="5246"/>
    <n v="0.85"/>
    <n v="4459.0999999999995"/>
  </r>
  <r>
    <s v="FL076"/>
    <x v="1"/>
    <x v="1"/>
    <x v="64"/>
    <n v="2600"/>
    <n v="1.91"/>
    <n v="4924"/>
    <n v="0.85"/>
    <n v="4185.3999999999996"/>
  </r>
  <r>
    <s v="FL077"/>
    <x v="1"/>
    <x v="1"/>
    <x v="65"/>
    <n v="2600"/>
    <n v="1.91"/>
    <n v="5258"/>
    <n v="0.85"/>
    <n v="4469.3"/>
  </r>
  <r>
    <s v="FL078"/>
    <x v="1"/>
    <x v="1"/>
    <x v="63"/>
    <n v="2600"/>
    <n v="1.91"/>
    <n v="4480"/>
    <n v="0.85"/>
    <n v="3808"/>
  </r>
  <r>
    <s v="FL079"/>
    <x v="1"/>
    <x v="1"/>
    <x v="66"/>
    <n v="2600"/>
    <n v="1.91"/>
    <n v="5057"/>
    <n v="0.85"/>
    <n v="4298.45"/>
  </r>
  <r>
    <s v="FL080"/>
    <x v="1"/>
    <x v="1"/>
    <x v="26"/>
    <n v="2600"/>
    <n v="1.91"/>
    <n v="4860"/>
    <n v="0.85"/>
    <n v="4131"/>
  </r>
  <r>
    <s v="FL081"/>
    <x v="1"/>
    <x v="1"/>
    <x v="67"/>
    <n v="2600"/>
    <n v="1.91"/>
    <n v="5353"/>
    <n v="0.9"/>
    <n v="4817.7"/>
  </r>
  <r>
    <s v="FL082"/>
    <x v="1"/>
    <x v="1"/>
    <x v="32"/>
    <n v="2600"/>
    <n v="1.91"/>
    <n v="4480"/>
    <n v="0.9"/>
    <n v="4032"/>
  </r>
  <r>
    <s v="FL083"/>
    <x v="1"/>
    <x v="1"/>
    <x v="68"/>
    <n v="2600"/>
    <n v="1.91"/>
    <n v="5276"/>
    <n v="0.9"/>
    <n v="4748.4000000000005"/>
  </r>
  <r>
    <s v="FL084"/>
    <x v="1"/>
    <x v="1"/>
    <x v="30"/>
    <n v="2600"/>
    <n v="1.91"/>
    <n v="4676"/>
    <n v="0.9"/>
    <n v="4208.4000000000005"/>
  </r>
  <r>
    <s v="FL085"/>
    <x v="1"/>
    <x v="1"/>
    <x v="28"/>
    <n v="2600"/>
    <n v="1.91"/>
    <n v="4853"/>
    <n v="0.9"/>
    <n v="4367.7"/>
  </r>
  <r>
    <s v="FL086"/>
    <x v="1"/>
    <x v="1"/>
    <x v="34"/>
    <n v="2600"/>
    <n v="1.91"/>
    <n v="5271"/>
    <n v="0.9"/>
    <n v="4743.9000000000005"/>
  </r>
  <r>
    <s v="FL087"/>
    <x v="1"/>
    <x v="1"/>
    <x v="33"/>
    <n v="2600"/>
    <n v="1.91"/>
    <n v="4805"/>
    <n v="0.9"/>
    <n v="4324.5"/>
  </r>
  <r>
    <s v="FL088"/>
    <x v="1"/>
    <x v="1"/>
    <x v="67"/>
    <n v="2600"/>
    <n v="1.91"/>
    <n v="5319"/>
    <n v="0.9"/>
    <n v="4787.1000000000004"/>
  </r>
  <r>
    <s v="FL089"/>
    <x v="1"/>
    <x v="1"/>
    <x v="69"/>
    <n v="2600"/>
    <n v="1.91"/>
    <n v="4861"/>
    <n v="0.89"/>
    <n v="4326.29"/>
  </r>
  <r>
    <s v="FL090"/>
    <x v="1"/>
    <x v="1"/>
    <x v="70"/>
    <n v="2600"/>
    <n v="1.91"/>
    <n v="5437"/>
    <n v="0.89"/>
    <n v="4838.93"/>
  </r>
  <r>
    <s v="FL091"/>
    <x v="1"/>
    <x v="1"/>
    <x v="36"/>
    <n v="2600"/>
    <n v="1.91"/>
    <n v="4949"/>
    <n v="0.89"/>
    <n v="4404.6099999999997"/>
  </r>
  <r>
    <s v="FL092"/>
    <x v="1"/>
    <x v="1"/>
    <x v="71"/>
    <n v="2600"/>
    <n v="1.91"/>
    <n v="4891"/>
    <n v="0.89"/>
    <n v="4352.99"/>
  </r>
  <r>
    <s v="FL093"/>
    <x v="1"/>
    <x v="1"/>
    <x v="72"/>
    <n v="2600"/>
    <n v="1.91"/>
    <n v="4607"/>
    <n v="0.89"/>
    <n v="4100.2300000000005"/>
  </r>
  <r>
    <s v="FL094"/>
    <x v="1"/>
    <x v="1"/>
    <x v="70"/>
    <n v="2600"/>
    <n v="1.91"/>
    <n v="4979"/>
    <n v="0.89"/>
    <n v="4431.3100000000004"/>
  </r>
  <r>
    <s v="FL095"/>
    <x v="1"/>
    <x v="1"/>
    <x v="71"/>
    <n v="2600"/>
    <n v="1.91"/>
    <n v="4616"/>
    <n v="0.89"/>
    <n v="4108.24"/>
  </r>
  <r>
    <s v="FL096"/>
    <x v="1"/>
    <x v="1"/>
    <x v="71"/>
    <n v="2600"/>
    <n v="1.91"/>
    <n v="5409"/>
    <n v="0.89"/>
    <n v="4814.01"/>
  </r>
  <r>
    <s v="FL097"/>
    <x v="0"/>
    <x v="2"/>
    <x v="73"/>
    <n v="2500"/>
    <n v="3.5"/>
    <n v="9227"/>
    <n v="0.7"/>
    <n v="6458.9"/>
  </r>
  <r>
    <s v="FL098"/>
    <x v="0"/>
    <x v="2"/>
    <x v="74"/>
    <n v="2500"/>
    <n v="3.5"/>
    <n v="8714"/>
    <n v="0.7"/>
    <n v="6099.7999999999993"/>
  </r>
  <r>
    <s v="FL099"/>
    <x v="0"/>
    <x v="2"/>
    <x v="3"/>
    <n v="2500"/>
    <n v="3.5"/>
    <n v="9381"/>
    <n v="0.7"/>
    <n v="6566.7"/>
  </r>
  <r>
    <s v="FL100"/>
    <x v="0"/>
    <x v="2"/>
    <x v="0"/>
    <n v="2500"/>
    <n v="3.5"/>
    <n v="8772"/>
    <n v="0.7"/>
    <n v="6140.4"/>
  </r>
  <r>
    <s v="FL101"/>
    <x v="0"/>
    <x v="2"/>
    <x v="6"/>
    <n v="2500"/>
    <n v="3.5"/>
    <n v="8737"/>
    <n v="0.7"/>
    <n v="6115.9"/>
  </r>
  <r>
    <s v="FL102"/>
    <x v="0"/>
    <x v="2"/>
    <x v="45"/>
    <n v="2500"/>
    <n v="3.5"/>
    <n v="8914"/>
    <n v="0.7"/>
    <n v="6239.7999999999993"/>
  </r>
  <r>
    <s v="FL103"/>
    <x v="0"/>
    <x v="2"/>
    <x v="75"/>
    <n v="2500"/>
    <n v="3.5"/>
    <n v="8026"/>
    <n v="0.7"/>
    <n v="5618.2"/>
  </r>
  <r>
    <s v="FL104"/>
    <x v="0"/>
    <x v="2"/>
    <x v="6"/>
    <n v="2500"/>
    <n v="3.5"/>
    <n v="9437"/>
    <n v="0.7"/>
    <n v="6605.9"/>
  </r>
  <r>
    <s v="FL105"/>
    <x v="0"/>
    <x v="2"/>
    <x v="50"/>
    <n v="2500"/>
    <n v="3.5"/>
    <n v="8165"/>
    <n v="0.75"/>
    <n v="6123.75"/>
  </r>
  <r>
    <s v="FL106"/>
    <x v="0"/>
    <x v="2"/>
    <x v="76"/>
    <n v="2500"/>
    <n v="3.5"/>
    <n v="8057"/>
    <n v="0.75"/>
    <n v="6042.75"/>
  </r>
  <r>
    <s v="FL107"/>
    <x v="0"/>
    <x v="2"/>
    <x v="9"/>
    <n v="2500"/>
    <n v="3.5"/>
    <n v="8577"/>
    <n v="0.75"/>
    <n v="6432.75"/>
  </r>
  <r>
    <s v="FL108"/>
    <x v="0"/>
    <x v="2"/>
    <x v="8"/>
    <n v="2500"/>
    <n v="3.5"/>
    <n v="7986"/>
    <n v="0.75"/>
    <n v="5989.5"/>
  </r>
  <r>
    <s v="FL109"/>
    <x v="0"/>
    <x v="2"/>
    <x v="77"/>
    <n v="2500"/>
    <n v="3.5"/>
    <n v="8007"/>
    <n v="0.75"/>
    <n v="6005.25"/>
  </r>
  <r>
    <s v="FL110"/>
    <x v="0"/>
    <x v="2"/>
    <x v="78"/>
    <n v="2500"/>
    <n v="3.5"/>
    <n v="8946"/>
    <n v="0.75"/>
    <n v="6709.5"/>
  </r>
  <r>
    <s v="FL111"/>
    <x v="0"/>
    <x v="2"/>
    <x v="10"/>
    <n v="2500"/>
    <n v="3.5"/>
    <n v="8531"/>
    <n v="0.75"/>
    <n v="6398.25"/>
  </r>
  <r>
    <s v="FL112"/>
    <x v="0"/>
    <x v="2"/>
    <x v="54"/>
    <n v="2500"/>
    <n v="3.5"/>
    <n v="8344"/>
    <n v="0.75"/>
    <n v="6258"/>
  </r>
  <r>
    <s v="FL113"/>
    <x v="0"/>
    <x v="2"/>
    <x v="79"/>
    <n v="2500"/>
    <n v="3.5"/>
    <n v="8371"/>
    <n v="0.8"/>
    <n v="6696.8"/>
  </r>
  <r>
    <s v="FL114"/>
    <x v="0"/>
    <x v="2"/>
    <x v="58"/>
    <n v="2500"/>
    <n v="3.5"/>
    <n v="8170"/>
    <n v="0.8"/>
    <n v="6536"/>
  </r>
  <r>
    <s v="FL115"/>
    <x v="0"/>
    <x v="2"/>
    <x v="80"/>
    <n v="2500"/>
    <n v="3.5"/>
    <n v="9347"/>
    <n v="0.8"/>
    <n v="7477.6"/>
  </r>
  <r>
    <s v="FL116"/>
    <x v="0"/>
    <x v="2"/>
    <x v="81"/>
    <n v="2500"/>
    <n v="3.5"/>
    <n v="9613"/>
    <n v="0.8"/>
    <n v="7690.4000000000005"/>
  </r>
  <r>
    <s v="FL117"/>
    <x v="0"/>
    <x v="2"/>
    <x v="20"/>
    <n v="2500"/>
    <n v="3.5"/>
    <n v="8548"/>
    <n v="0.8"/>
    <n v="6838.4000000000005"/>
  </r>
  <r>
    <s v="FL118"/>
    <x v="0"/>
    <x v="2"/>
    <x v="82"/>
    <n v="2500"/>
    <n v="3.5"/>
    <n v="7982"/>
    <n v="0.8"/>
    <n v="6385.6"/>
  </r>
  <r>
    <s v="FL119"/>
    <x v="0"/>
    <x v="2"/>
    <x v="83"/>
    <n v="2500"/>
    <n v="3.5"/>
    <n v="8014"/>
    <n v="0.8"/>
    <n v="6411.2000000000007"/>
  </r>
  <r>
    <s v="FL120"/>
    <x v="0"/>
    <x v="2"/>
    <x v="16"/>
    <n v="2500"/>
    <n v="3.5"/>
    <n v="8200"/>
    <n v="0.8"/>
    <n v="6560"/>
  </r>
  <r>
    <s v="FL121"/>
    <x v="0"/>
    <x v="2"/>
    <x v="64"/>
    <n v="2500"/>
    <n v="3.5"/>
    <n v="7913"/>
    <n v="0.85"/>
    <n v="6726.05"/>
  </r>
  <r>
    <s v="FL122"/>
    <x v="0"/>
    <x v="2"/>
    <x v="27"/>
    <n v="2500"/>
    <n v="3.5"/>
    <n v="9057"/>
    <n v="0.85"/>
    <n v="7698.45"/>
  </r>
  <r>
    <s v="FL123"/>
    <x v="0"/>
    <x v="2"/>
    <x v="84"/>
    <n v="2500"/>
    <n v="3.5"/>
    <n v="9231"/>
    <n v="0.85"/>
    <n v="7846.3499999999995"/>
  </r>
  <r>
    <s v="FL124"/>
    <x v="0"/>
    <x v="2"/>
    <x v="84"/>
    <n v="2500"/>
    <n v="3.5"/>
    <n v="8930"/>
    <n v="0.85"/>
    <n v="7590.5"/>
  </r>
  <r>
    <s v="FL125"/>
    <x v="0"/>
    <x v="2"/>
    <x v="85"/>
    <n v="2500"/>
    <n v="3.5"/>
    <n v="9265"/>
    <n v="0.85"/>
    <n v="7875.25"/>
  </r>
  <r>
    <s v="FL126"/>
    <x v="0"/>
    <x v="2"/>
    <x v="25"/>
    <n v="2500"/>
    <n v="3.5"/>
    <n v="8766"/>
    <n v="0.85"/>
    <n v="7451.0999999999995"/>
  </r>
  <r>
    <s v="FL127"/>
    <x v="0"/>
    <x v="2"/>
    <x v="62"/>
    <n v="2500"/>
    <n v="3.5"/>
    <n v="8940"/>
    <n v="0.85"/>
    <n v="7599"/>
  </r>
  <r>
    <s v="FL128"/>
    <x v="0"/>
    <x v="2"/>
    <x v="86"/>
    <n v="2500"/>
    <n v="3.5"/>
    <n v="7890"/>
    <n v="0.85"/>
    <n v="6706.5"/>
  </r>
  <r>
    <s v="FL129"/>
    <x v="0"/>
    <x v="2"/>
    <x v="87"/>
    <n v="2500"/>
    <n v="3.5"/>
    <n v="8484"/>
    <n v="0.9"/>
    <n v="7635.6"/>
  </r>
  <r>
    <s v="FL130"/>
    <x v="0"/>
    <x v="2"/>
    <x v="88"/>
    <n v="2500"/>
    <n v="3.5"/>
    <n v="9425"/>
    <n v="0.9"/>
    <n v="8482.5"/>
  </r>
  <r>
    <s v="FL131"/>
    <x v="0"/>
    <x v="2"/>
    <x v="89"/>
    <n v="2500"/>
    <n v="3.5"/>
    <n v="8101"/>
    <n v="0.9"/>
    <n v="7290.9000000000005"/>
  </r>
  <r>
    <s v="FL132"/>
    <x v="0"/>
    <x v="2"/>
    <x v="34"/>
    <n v="2500"/>
    <n v="3.5"/>
    <n v="9611"/>
    <n v="0.9"/>
    <n v="8649.9"/>
  </r>
  <r>
    <s v="FL133"/>
    <x v="0"/>
    <x v="2"/>
    <x v="90"/>
    <n v="2500"/>
    <n v="3.5"/>
    <n v="8911"/>
    <n v="0.9"/>
    <n v="8019.9000000000005"/>
  </r>
  <r>
    <s v="FL134"/>
    <x v="0"/>
    <x v="2"/>
    <x v="91"/>
    <n v="2500"/>
    <n v="3.5"/>
    <n v="8692"/>
    <n v="0.9"/>
    <n v="7822.8"/>
  </r>
  <r>
    <s v="FL135"/>
    <x v="0"/>
    <x v="2"/>
    <x v="29"/>
    <n v="2500"/>
    <n v="3.5"/>
    <n v="8929"/>
    <n v="0.9"/>
    <n v="8036.1"/>
  </r>
  <r>
    <s v="FL136"/>
    <x v="0"/>
    <x v="2"/>
    <x v="92"/>
    <n v="2500"/>
    <n v="3.5"/>
    <n v="8977"/>
    <n v="0.9"/>
    <n v="8079.3"/>
  </r>
  <r>
    <s v="FL137"/>
    <x v="0"/>
    <x v="2"/>
    <x v="72"/>
    <n v="2500"/>
    <n v="3.5"/>
    <n v="8047"/>
    <n v="0.89"/>
    <n v="7161.83"/>
  </r>
  <r>
    <s v="FL138"/>
    <x v="0"/>
    <x v="2"/>
    <x v="93"/>
    <n v="2500"/>
    <n v="3.5"/>
    <n v="8627"/>
    <n v="0.89"/>
    <n v="7678.03"/>
  </r>
  <r>
    <s v="FL139"/>
    <x v="0"/>
    <x v="2"/>
    <x v="94"/>
    <n v="2500"/>
    <n v="3.5"/>
    <n v="9617"/>
    <n v="0.89"/>
    <n v="8559.130000000001"/>
  </r>
  <r>
    <s v="FL140"/>
    <x v="0"/>
    <x v="2"/>
    <x v="95"/>
    <n v="2500"/>
    <n v="3.5"/>
    <n v="8649"/>
    <n v="0.89"/>
    <n v="7697.61"/>
  </r>
  <r>
    <s v="FL141"/>
    <x v="0"/>
    <x v="2"/>
    <x v="71"/>
    <n v="2500"/>
    <n v="3.5"/>
    <n v="8988"/>
    <n v="0.89"/>
    <n v="7999.32"/>
  </r>
  <r>
    <s v="FL142"/>
    <x v="0"/>
    <x v="2"/>
    <x v="37"/>
    <n v="2500"/>
    <n v="3.5"/>
    <n v="8805"/>
    <n v="0.89"/>
    <n v="7836.45"/>
  </r>
  <r>
    <s v="FL143"/>
    <x v="0"/>
    <x v="2"/>
    <x v="36"/>
    <n v="2500"/>
    <n v="3.5"/>
    <n v="8890"/>
    <n v="0.89"/>
    <n v="7912.1"/>
  </r>
  <r>
    <s v="FL144"/>
    <x v="0"/>
    <x v="2"/>
    <x v="42"/>
    <n v="2500"/>
    <n v="3.5"/>
    <n v="8255"/>
    <n v="0.89"/>
    <n v="7346.95"/>
  </r>
  <r>
    <s v="FL145"/>
    <x v="2"/>
    <x v="3"/>
    <x v="73"/>
    <n v="9500"/>
    <n v="6.58"/>
    <n v="59935"/>
    <n v="0.7"/>
    <n v="41954.5"/>
  </r>
  <r>
    <s v="FL146"/>
    <x v="2"/>
    <x v="3"/>
    <x v="48"/>
    <n v="9500"/>
    <n v="6.58"/>
    <n v="62499"/>
    <n v="0.7"/>
    <n v="43749.299999999996"/>
  </r>
  <r>
    <s v="FL147"/>
    <x v="2"/>
    <x v="3"/>
    <x v="96"/>
    <n v="9500"/>
    <n v="6.58"/>
    <n v="66411"/>
    <n v="0.7"/>
    <n v="46487.7"/>
  </r>
  <r>
    <s v="FL148"/>
    <x v="2"/>
    <x v="3"/>
    <x v="75"/>
    <n v="9500"/>
    <n v="6.58"/>
    <n v="58351"/>
    <n v="0.7"/>
    <n v="40845.699999999997"/>
  </r>
  <r>
    <s v="FL149"/>
    <x v="2"/>
    <x v="3"/>
    <x v="75"/>
    <n v="9500"/>
    <n v="6.58"/>
    <n v="64380"/>
    <n v="0.7"/>
    <n v="45066"/>
  </r>
  <r>
    <s v="FL150"/>
    <x v="2"/>
    <x v="3"/>
    <x v="45"/>
    <n v="9500"/>
    <n v="6.58"/>
    <n v="68377"/>
    <n v="0.7"/>
    <n v="47863.899999999994"/>
  </r>
  <r>
    <s v="FL151"/>
    <x v="2"/>
    <x v="3"/>
    <x v="48"/>
    <n v="9500"/>
    <n v="6.58"/>
    <n v="56583"/>
    <n v="0.7"/>
    <n v="39608.1"/>
  </r>
  <r>
    <s v="FL152"/>
    <x v="2"/>
    <x v="3"/>
    <x v="74"/>
    <n v="9500"/>
    <n v="6.58"/>
    <n v="64128"/>
    <n v="0.7"/>
    <n v="44889.599999999999"/>
  </r>
  <r>
    <s v="FL153"/>
    <x v="2"/>
    <x v="3"/>
    <x v="78"/>
    <n v="9500"/>
    <n v="6.58"/>
    <n v="65559"/>
    <n v="0.75"/>
    <n v="49169.25"/>
  </r>
  <r>
    <s v="FL154"/>
    <x v="2"/>
    <x v="3"/>
    <x v="49"/>
    <n v="9500"/>
    <n v="6.58"/>
    <n v="67248"/>
    <n v="0.75"/>
    <n v="50436"/>
  </r>
  <r>
    <s v="FL155"/>
    <x v="2"/>
    <x v="3"/>
    <x v="97"/>
    <n v="9500"/>
    <n v="6.58"/>
    <n v="59039"/>
    <n v="0.75"/>
    <n v="44279.25"/>
  </r>
  <r>
    <s v="FL156"/>
    <x v="2"/>
    <x v="3"/>
    <x v="50"/>
    <n v="9500"/>
    <n v="6.58"/>
    <n v="57261"/>
    <n v="0.75"/>
    <n v="42945.75"/>
  </r>
  <r>
    <s v="FL157"/>
    <x v="2"/>
    <x v="3"/>
    <x v="13"/>
    <n v="9500"/>
    <n v="6.58"/>
    <n v="57844"/>
    <n v="0.75"/>
    <n v="43383"/>
  </r>
  <r>
    <s v="FL158"/>
    <x v="2"/>
    <x v="3"/>
    <x v="76"/>
    <n v="9500"/>
    <n v="6.58"/>
    <n v="59503"/>
    <n v="0.75"/>
    <n v="44627.25"/>
  </r>
  <r>
    <s v="FL159"/>
    <x v="2"/>
    <x v="3"/>
    <x v="53"/>
    <n v="9500"/>
    <n v="6.58"/>
    <n v="65580"/>
    <n v="0.75"/>
    <n v="49185"/>
  </r>
  <r>
    <s v="FL160"/>
    <x v="2"/>
    <x v="3"/>
    <x v="98"/>
    <n v="9500"/>
    <n v="6.58"/>
    <n v="62250"/>
    <n v="0.75"/>
    <n v="46687.5"/>
  </r>
  <r>
    <s v="FL161"/>
    <x v="2"/>
    <x v="3"/>
    <x v="99"/>
    <n v="9500"/>
    <n v="6.58"/>
    <n v="60338"/>
    <n v="0.8"/>
    <n v="48270.400000000001"/>
  </r>
  <r>
    <s v="FL162"/>
    <x v="2"/>
    <x v="3"/>
    <x v="100"/>
    <n v="9500"/>
    <n v="6.58"/>
    <n v="66198"/>
    <n v="0.8"/>
    <n v="52958.400000000001"/>
  </r>
  <r>
    <s v="FL163"/>
    <x v="2"/>
    <x v="3"/>
    <x v="19"/>
    <n v="9500"/>
    <n v="6.58"/>
    <n v="62932"/>
    <n v="0.8"/>
    <n v="50345.600000000006"/>
  </r>
  <r>
    <s v="FL164"/>
    <x v="2"/>
    <x v="3"/>
    <x v="100"/>
    <n v="9500"/>
    <n v="6.58"/>
    <n v="64502"/>
    <n v="0.8"/>
    <n v="51601.600000000006"/>
  </r>
  <r>
    <s v="FL165"/>
    <x v="2"/>
    <x v="3"/>
    <x v="101"/>
    <n v="9500"/>
    <n v="6.58"/>
    <n v="56392"/>
    <n v="0.8"/>
    <n v="45113.600000000006"/>
  </r>
  <r>
    <s v="FL166"/>
    <x v="2"/>
    <x v="3"/>
    <x v="81"/>
    <n v="9500"/>
    <n v="6.58"/>
    <n v="62724"/>
    <n v="0.8"/>
    <n v="50179.200000000004"/>
  </r>
  <r>
    <s v="FL167"/>
    <x v="2"/>
    <x v="3"/>
    <x v="17"/>
    <n v="9500"/>
    <n v="6.58"/>
    <n v="65231"/>
    <n v="0.8"/>
    <n v="52184.800000000003"/>
  </r>
  <r>
    <s v="FL168"/>
    <x v="2"/>
    <x v="3"/>
    <x v="101"/>
    <n v="9500"/>
    <n v="6.58"/>
    <n v="61463"/>
    <n v="0.8"/>
    <n v="49170.400000000001"/>
  </r>
  <r>
    <s v="FL169"/>
    <x v="2"/>
    <x v="3"/>
    <x v="22"/>
    <n v="9500"/>
    <n v="6.58"/>
    <n v="61259"/>
    <n v="0.85"/>
    <n v="52070.15"/>
  </r>
  <r>
    <s v="FL170"/>
    <x v="2"/>
    <x v="3"/>
    <x v="84"/>
    <n v="9500"/>
    <n v="6.58"/>
    <n v="59251"/>
    <n v="0.85"/>
    <n v="50363.35"/>
  </r>
  <r>
    <s v="FL171"/>
    <x v="2"/>
    <x v="3"/>
    <x v="86"/>
    <n v="9500"/>
    <n v="6.58"/>
    <n v="62983"/>
    <n v="0.85"/>
    <n v="53535.549999999996"/>
  </r>
  <r>
    <s v="FL172"/>
    <x v="2"/>
    <x v="3"/>
    <x v="63"/>
    <n v="9500"/>
    <n v="6.58"/>
    <n v="57641"/>
    <n v="0.85"/>
    <n v="48994.85"/>
  </r>
  <r>
    <s v="FL173"/>
    <x v="2"/>
    <x v="3"/>
    <x v="22"/>
    <n v="9500"/>
    <n v="6.58"/>
    <n v="61050"/>
    <n v="0.85"/>
    <n v="51892.5"/>
  </r>
  <r>
    <s v="FL174"/>
    <x v="2"/>
    <x v="3"/>
    <x v="85"/>
    <n v="9500"/>
    <n v="6.58"/>
    <n v="57787"/>
    <n v="0.85"/>
    <n v="49118.95"/>
  </r>
  <r>
    <s v="FL175"/>
    <x v="2"/>
    <x v="3"/>
    <x v="102"/>
    <n v="9500"/>
    <n v="6.58"/>
    <n v="61182"/>
    <n v="0.85"/>
    <n v="52004.7"/>
  </r>
  <r>
    <s v="FL176"/>
    <x v="2"/>
    <x v="3"/>
    <x v="103"/>
    <n v="9500"/>
    <n v="6.58"/>
    <n v="67404"/>
    <n v="0.85"/>
    <n v="57293.4"/>
  </r>
  <r>
    <s v="FL177"/>
    <x v="2"/>
    <x v="3"/>
    <x v="87"/>
    <n v="9500"/>
    <n v="6.58"/>
    <n v="64365"/>
    <n v="0.9"/>
    <n v="57928.5"/>
  </r>
  <r>
    <s v="FL178"/>
    <x v="2"/>
    <x v="3"/>
    <x v="89"/>
    <n v="9500"/>
    <n v="6.58"/>
    <n v="62231"/>
    <n v="0.9"/>
    <n v="56007.9"/>
  </r>
  <r>
    <s v="FL179"/>
    <x v="2"/>
    <x v="3"/>
    <x v="91"/>
    <n v="9500"/>
    <n v="6.58"/>
    <n v="58719"/>
    <n v="0.9"/>
    <n v="52847.1"/>
  </r>
  <r>
    <s v="FL180"/>
    <x v="2"/>
    <x v="3"/>
    <x v="104"/>
    <n v="9500"/>
    <n v="6.58"/>
    <n v="66871"/>
    <n v="0.9"/>
    <n v="60183.9"/>
  </r>
  <r>
    <s v="FL181"/>
    <x v="2"/>
    <x v="3"/>
    <x v="104"/>
    <n v="9500"/>
    <n v="6.58"/>
    <n v="62888"/>
    <n v="0.9"/>
    <n v="56599.200000000004"/>
  </r>
  <r>
    <s v="FL182"/>
    <x v="2"/>
    <x v="3"/>
    <x v="105"/>
    <n v="9500"/>
    <n v="6.58"/>
    <n v="58409"/>
    <n v="0.9"/>
    <n v="52568.1"/>
  </r>
  <r>
    <s v="FL183"/>
    <x v="2"/>
    <x v="3"/>
    <x v="33"/>
    <n v="9500"/>
    <n v="6.58"/>
    <n v="68560"/>
    <n v="0.9"/>
    <n v="61704"/>
  </r>
  <r>
    <s v="FL184"/>
    <x v="2"/>
    <x v="3"/>
    <x v="106"/>
    <n v="9500"/>
    <n v="6.58"/>
    <n v="59320"/>
    <n v="0.9"/>
    <n v="53388"/>
  </r>
  <r>
    <s v="FL185"/>
    <x v="2"/>
    <x v="3"/>
    <x v="107"/>
    <n v="9500"/>
    <n v="6.58"/>
    <n v="68658"/>
    <n v="0.89"/>
    <n v="61105.62"/>
  </r>
  <r>
    <s v="FL186"/>
    <x v="2"/>
    <x v="3"/>
    <x v="108"/>
    <n v="9500"/>
    <n v="6.58"/>
    <n v="60271"/>
    <n v="0.89"/>
    <n v="53641.19"/>
  </r>
  <r>
    <s v="FL187"/>
    <x v="2"/>
    <x v="3"/>
    <x v="108"/>
    <n v="9500"/>
    <n v="6.58"/>
    <n v="56709"/>
    <n v="0.89"/>
    <n v="50471.01"/>
  </r>
  <r>
    <s v="FL188"/>
    <x v="2"/>
    <x v="3"/>
    <x v="109"/>
    <n v="9500"/>
    <n v="6.58"/>
    <n v="67401"/>
    <n v="0.89"/>
    <n v="59986.89"/>
  </r>
  <r>
    <s v="FL189"/>
    <x v="2"/>
    <x v="3"/>
    <x v="95"/>
    <n v="9500"/>
    <n v="6.58"/>
    <n v="62457"/>
    <n v="0.89"/>
    <n v="55586.73"/>
  </r>
  <r>
    <s v="FL190"/>
    <x v="2"/>
    <x v="3"/>
    <x v="42"/>
    <n v="9500"/>
    <n v="6.58"/>
    <n v="65926"/>
    <n v="0.89"/>
    <n v="58674.14"/>
  </r>
  <r>
    <s v="FL191"/>
    <x v="2"/>
    <x v="3"/>
    <x v="95"/>
    <n v="9500"/>
    <n v="6.58"/>
    <n v="61400"/>
    <n v="0.89"/>
    <n v="54646"/>
  </r>
  <r>
    <s v="FL192"/>
    <x v="2"/>
    <x v="3"/>
    <x v="110"/>
    <n v="9500"/>
    <n v="6.58"/>
    <n v="65684"/>
    <n v="0.89"/>
    <n v="58458.76"/>
  </r>
  <r>
    <s v="FL193"/>
    <x v="3"/>
    <x v="4"/>
    <x v="111"/>
    <n v="17400"/>
    <n v="15"/>
    <n v="257547"/>
    <n v="0.7"/>
    <n v="180282.9"/>
  </r>
  <r>
    <s v="FL194"/>
    <x v="3"/>
    <x v="4"/>
    <x v="112"/>
    <n v="17400"/>
    <n v="15"/>
    <n v="240368"/>
    <n v="0.7"/>
    <n v="168257.59999999998"/>
  </r>
  <r>
    <s v="FL195"/>
    <x v="3"/>
    <x v="4"/>
    <x v="113"/>
    <n v="17400"/>
    <n v="15"/>
    <n v="246818"/>
    <n v="0.7"/>
    <n v="172772.59999999998"/>
  </r>
  <r>
    <s v="FL196"/>
    <x v="3"/>
    <x v="4"/>
    <x v="73"/>
    <n v="17400"/>
    <n v="15"/>
    <n v="250319"/>
    <n v="0.7"/>
    <n v="175223.3"/>
  </r>
  <r>
    <s v="FL197"/>
    <x v="3"/>
    <x v="4"/>
    <x v="114"/>
    <n v="17400"/>
    <n v="15"/>
    <n v="252999"/>
    <n v="0.7"/>
    <n v="177099.3"/>
  </r>
  <r>
    <s v="FL198"/>
    <x v="3"/>
    <x v="4"/>
    <x v="112"/>
    <n v="17400"/>
    <n v="15"/>
    <n v="263940"/>
    <n v="0.7"/>
    <n v="184758"/>
  </r>
  <r>
    <s v="FL199"/>
    <x v="3"/>
    <x v="4"/>
    <x v="6"/>
    <n v="17400"/>
    <n v="15"/>
    <n v="253099"/>
    <n v="0.7"/>
    <n v="177169.3"/>
  </r>
  <r>
    <s v="FL200"/>
    <x v="3"/>
    <x v="4"/>
    <x v="115"/>
    <n v="17400"/>
    <n v="15"/>
    <n v="269684"/>
    <n v="0.7"/>
    <n v="188778.8"/>
  </r>
  <r>
    <s v="FL201"/>
    <x v="3"/>
    <x v="4"/>
    <x v="50"/>
    <n v="17400"/>
    <n v="15"/>
    <n v="252072"/>
    <n v="0.75"/>
    <n v="189054"/>
  </r>
  <r>
    <s v="FL202"/>
    <x v="3"/>
    <x v="4"/>
    <x v="11"/>
    <n v="17400"/>
    <n v="15"/>
    <n v="240026"/>
    <n v="0.75"/>
    <n v="180019.5"/>
  </r>
  <r>
    <s v="FL203"/>
    <x v="3"/>
    <x v="4"/>
    <x v="78"/>
    <n v="17400"/>
    <n v="15"/>
    <n v="244963"/>
    <n v="0.75"/>
    <n v="183722.25"/>
  </r>
  <r>
    <s v="FL204"/>
    <x v="3"/>
    <x v="4"/>
    <x v="54"/>
    <n v="17400"/>
    <n v="15"/>
    <n v="237505"/>
    <n v="0.75"/>
    <n v="178128.75"/>
  </r>
  <r>
    <s v="FL205"/>
    <x v="3"/>
    <x v="4"/>
    <x v="116"/>
    <n v="17400"/>
    <n v="15"/>
    <n v="282986"/>
    <n v="0.75"/>
    <n v="212239.5"/>
  </r>
  <r>
    <s v="FL206"/>
    <x v="3"/>
    <x v="4"/>
    <x v="76"/>
    <n v="17400"/>
    <n v="15"/>
    <n v="285138"/>
    <n v="0.75"/>
    <n v="213853.5"/>
  </r>
  <r>
    <s v="FL207"/>
    <x v="3"/>
    <x v="4"/>
    <x v="49"/>
    <n v="17400"/>
    <n v="15"/>
    <n v="238609"/>
    <n v="0.75"/>
    <n v="178956.75"/>
  </r>
  <r>
    <s v="FL208"/>
    <x v="3"/>
    <x v="4"/>
    <x v="56"/>
    <n v="17400"/>
    <n v="15"/>
    <n v="270606"/>
    <n v="0.75"/>
    <n v="202954.5"/>
  </r>
  <r>
    <s v="FL209"/>
    <x v="3"/>
    <x v="4"/>
    <x v="82"/>
    <n v="17400"/>
    <n v="15"/>
    <n v="260382"/>
    <n v="0.8"/>
    <n v="208305.6"/>
  </r>
  <r>
    <s v="FL210"/>
    <x v="3"/>
    <x v="4"/>
    <x v="57"/>
    <n v="17400"/>
    <n v="15"/>
    <n v="273972"/>
    <n v="0.8"/>
    <n v="219177.60000000001"/>
  </r>
  <r>
    <s v="FL211"/>
    <x v="3"/>
    <x v="4"/>
    <x v="100"/>
    <n v="17400"/>
    <n v="15"/>
    <n v="245315"/>
    <n v="0.8"/>
    <n v="196252"/>
  </r>
  <r>
    <s v="FL212"/>
    <x v="3"/>
    <x v="4"/>
    <x v="117"/>
    <n v="17400"/>
    <n v="15"/>
    <n v="240039"/>
    <n v="0.8"/>
    <n v="192031.2"/>
  </r>
  <r>
    <s v="FL213"/>
    <x v="3"/>
    <x v="4"/>
    <x v="61"/>
    <n v="17400"/>
    <n v="15"/>
    <n v="276778"/>
    <n v="0.8"/>
    <n v="221422.40000000002"/>
  </r>
  <r>
    <s v="FL214"/>
    <x v="3"/>
    <x v="4"/>
    <x v="61"/>
    <n v="17400"/>
    <n v="15"/>
    <n v="246539"/>
    <n v="0.8"/>
    <n v="197231.2"/>
  </r>
  <r>
    <s v="FL215"/>
    <x v="3"/>
    <x v="4"/>
    <x v="117"/>
    <n v="17400"/>
    <n v="15"/>
    <n v="245204"/>
    <n v="0.8"/>
    <n v="196163.20000000001"/>
  </r>
  <r>
    <s v="FL216"/>
    <x v="3"/>
    <x v="4"/>
    <x v="15"/>
    <n v="17400"/>
    <n v="15"/>
    <n v="253111"/>
    <n v="0.8"/>
    <n v="202488.80000000002"/>
  </r>
  <r>
    <s v="FL217"/>
    <x v="3"/>
    <x v="4"/>
    <x v="118"/>
    <n v="17400"/>
    <n v="15"/>
    <n v="265487"/>
    <n v="0.85"/>
    <n v="225663.94999999998"/>
  </r>
  <r>
    <s v="FL218"/>
    <x v="3"/>
    <x v="4"/>
    <x v="119"/>
    <n v="17400"/>
    <n v="15"/>
    <n v="277416"/>
    <n v="0.85"/>
    <n v="235803.6"/>
  </r>
  <r>
    <s v="FL219"/>
    <x v="3"/>
    <x v="4"/>
    <x v="120"/>
    <n v="17400"/>
    <n v="15"/>
    <n v="236107"/>
    <n v="0.85"/>
    <n v="200690.94999999998"/>
  </r>
  <r>
    <s v="FL220"/>
    <x v="3"/>
    <x v="4"/>
    <x v="119"/>
    <n v="17400"/>
    <n v="15"/>
    <n v="285259"/>
    <n v="0.85"/>
    <n v="242470.15"/>
  </r>
  <r>
    <s v="FL221"/>
    <x v="3"/>
    <x v="4"/>
    <x v="26"/>
    <n v="17400"/>
    <n v="15"/>
    <n v="284460"/>
    <n v="0.85"/>
    <n v="241791"/>
  </r>
  <r>
    <s v="FL222"/>
    <x v="3"/>
    <x v="4"/>
    <x v="121"/>
    <n v="17400"/>
    <n v="15"/>
    <n v="284638"/>
    <n v="0.85"/>
    <n v="241942.3"/>
  </r>
  <r>
    <s v="FL223"/>
    <x v="3"/>
    <x v="4"/>
    <x v="103"/>
    <n v="17400"/>
    <n v="15"/>
    <n v="276544"/>
    <n v="0.85"/>
    <n v="235062.39999999999"/>
  </r>
  <r>
    <s v="FL224"/>
    <x v="3"/>
    <x v="4"/>
    <x v="122"/>
    <n v="17400"/>
    <n v="15"/>
    <n v="276082"/>
    <n v="0.85"/>
    <n v="234669.69999999998"/>
  </r>
  <r>
    <s v="FL225"/>
    <x v="3"/>
    <x v="4"/>
    <x v="123"/>
    <n v="17400"/>
    <n v="15"/>
    <n v="249553"/>
    <n v="0.9"/>
    <n v="224597.7"/>
  </r>
  <r>
    <s v="FL226"/>
    <x v="3"/>
    <x v="4"/>
    <x v="105"/>
    <n v="17400"/>
    <n v="15"/>
    <n v="246790"/>
    <n v="0.9"/>
    <n v="222111"/>
  </r>
  <r>
    <s v="FL227"/>
    <x v="3"/>
    <x v="4"/>
    <x v="88"/>
    <n v="17400"/>
    <n v="15"/>
    <n v="250852"/>
    <n v="0.9"/>
    <n v="225766.80000000002"/>
  </r>
  <r>
    <s v="FL228"/>
    <x v="3"/>
    <x v="4"/>
    <x v="123"/>
    <n v="17400"/>
    <n v="15"/>
    <n v="260213"/>
    <n v="0.9"/>
    <n v="234191.7"/>
  </r>
  <r>
    <s v="FL229"/>
    <x v="3"/>
    <x v="4"/>
    <x v="124"/>
    <n v="17400"/>
    <n v="15"/>
    <n v="252012"/>
    <n v="0.9"/>
    <n v="226810.80000000002"/>
  </r>
  <r>
    <s v="FL230"/>
    <x v="3"/>
    <x v="4"/>
    <x v="125"/>
    <n v="17400"/>
    <n v="15"/>
    <n v="278534"/>
    <n v="0.9"/>
    <n v="250680.6"/>
  </r>
  <r>
    <s v="FL231"/>
    <x v="3"/>
    <x v="4"/>
    <x v="126"/>
    <n v="17400"/>
    <n v="15"/>
    <n v="258148"/>
    <n v="0.9"/>
    <n v="232333.2"/>
  </r>
  <r>
    <s v="FL232"/>
    <x v="3"/>
    <x v="4"/>
    <x v="35"/>
    <n v="17400"/>
    <n v="15"/>
    <n v="246318"/>
    <n v="0.9"/>
    <n v="221686.2"/>
  </r>
  <r>
    <s v="FL233"/>
    <x v="3"/>
    <x v="4"/>
    <x v="127"/>
    <n v="17400"/>
    <n v="15"/>
    <n v="275339"/>
    <n v="0.89"/>
    <n v="245051.71"/>
  </r>
  <r>
    <s v="FL234"/>
    <x v="3"/>
    <x v="4"/>
    <x v="40"/>
    <n v="17400"/>
    <n v="15"/>
    <n v="266852"/>
    <n v="0.89"/>
    <n v="237498.28"/>
  </r>
  <r>
    <s v="FL235"/>
    <x v="3"/>
    <x v="4"/>
    <x v="128"/>
    <n v="17400"/>
    <n v="15"/>
    <n v="279831"/>
    <n v="0.89"/>
    <n v="249049.59"/>
  </r>
  <r>
    <s v="FL236"/>
    <x v="3"/>
    <x v="4"/>
    <x v="129"/>
    <n v="17400"/>
    <n v="15"/>
    <n v="285443"/>
    <n v="0.89"/>
    <n v="254044.27"/>
  </r>
  <r>
    <s v="FL237"/>
    <x v="3"/>
    <x v="4"/>
    <x v="108"/>
    <n v="17400"/>
    <n v="15"/>
    <n v="264369"/>
    <n v="0.89"/>
    <n v="235288.41"/>
  </r>
  <r>
    <s v="FL238"/>
    <x v="3"/>
    <x v="4"/>
    <x v="38"/>
    <n v="17400"/>
    <n v="15"/>
    <n v="266336"/>
    <n v="0.89"/>
    <n v="237039.04"/>
  </r>
  <r>
    <s v="FL239"/>
    <x v="3"/>
    <x v="4"/>
    <x v="36"/>
    <n v="17400"/>
    <n v="15"/>
    <n v="262220"/>
    <n v="0.89"/>
    <n v="233375.80000000002"/>
  </r>
  <r>
    <s v="FL240"/>
    <x v="3"/>
    <x v="4"/>
    <x v="37"/>
    <n v="17400"/>
    <n v="15"/>
    <n v="237710"/>
    <n v="0.89"/>
    <n v="211561.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A35647-491A-4173-9AEF-79A2C8ED941F}" name="PivotTable1" cacheId="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 rowHeaderCaption="Routes">
  <location ref="A3:B9" firstHeaderRow="1" firstDataRow="1" firstDataCol="1"/>
  <pivotFields count="10">
    <pivotField showAll="0"/>
    <pivotField showAll="0"/>
    <pivotField axis="axisRow" showAll="0">
      <items count="6">
        <item x="4"/>
        <item x="0"/>
        <item x="3"/>
        <item x="1"/>
        <item x="2"/>
        <item t="default"/>
      </items>
    </pivotField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numFmtId="2"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Total Fuel_Cost" fld="8" baseField="2" baseItem="0"/>
  </dataFields>
  <formats count="6">
    <format dxfId="21">
      <pivotArea type="all" dataOnly="0" outline="0" fieldPosition="0"/>
    </format>
    <format dxfId="20">
      <pivotArea outline="0" collapsedLevelsAreSubtotals="1" fieldPosition="0"/>
    </format>
    <format dxfId="19">
      <pivotArea field="2" type="button" dataOnly="0" labelOnly="1" outline="0" axis="axisRow" fieldPosition="0"/>
    </format>
    <format dxfId="18">
      <pivotArea dataOnly="0" labelOnly="1" fieldPosition="0">
        <references count="1">
          <reference field="2" count="0"/>
        </references>
      </pivotArea>
    </format>
    <format dxfId="17">
      <pivotArea dataOnly="0" labelOnly="1" grandRow="1" outline="0" fieldPosition="0"/>
    </format>
    <format dxfId="16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350E40-B424-4C03-B6FA-6097AA5AAF54}" name="PivotTable2" cacheId="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 rowHeaderCaption="Aircraft Type">
  <location ref="A3:C8" firstHeaderRow="0" firstDataRow="1" firstDataCol="1"/>
  <pivotFields count="10">
    <pivotField showAll="0"/>
    <pivotField axis="axisRow" showAll="0">
      <items count="5">
        <item x="0"/>
        <item x="3"/>
        <item x="1"/>
        <item x="2"/>
        <item t="default"/>
      </items>
    </pivotField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dataField="1" numFmtId="2" showAll="0"/>
    <pivotField dataField="1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Fuel_Consumed (L)" fld="6" baseField="0" baseItem="0"/>
    <dataField name="Duration_hrs" fld="5" baseField="0" baseItem="0"/>
  </dataFields>
  <formats count="10">
    <format dxfId="15">
      <pivotArea type="all" dataOnly="0" outline="0" fieldPosition="0"/>
    </format>
    <format dxfId="14">
      <pivotArea outline="0" collapsedLevelsAreSubtotals="1" fieldPosition="0"/>
    </format>
    <format dxfId="13">
      <pivotArea field="1" type="button" dataOnly="0" labelOnly="1" outline="0" axis="axisRow" fieldPosition="0"/>
    </format>
    <format dxfId="12">
      <pivotArea dataOnly="0" labelOnly="1" fieldPosition="0">
        <references count="1">
          <reference field="1" count="0"/>
        </references>
      </pivotArea>
    </format>
    <format dxfId="11">
      <pivotArea dataOnly="0" labelOnly="1" grandRow="1" outline="0" fieldPosition="0"/>
    </format>
    <format dxfId="1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">
      <pivotArea field="1" type="button" dataOnly="0" labelOnly="1" outline="0" axis="axisRow" fieldPosition="0"/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grandRow="1" outline="0" collapsedLevelsAreSubtotals="1" fieldPosition="0"/>
    </format>
    <format dxfId="6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03A945-586F-41C5-8ED6-D69F51F83EB9}" name="PivotTable3" cacheId="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:B10" firstHeaderRow="1" firstDataRow="1" firstDataCol="1"/>
  <pivotFields count="10">
    <pivotField showAll="0"/>
    <pivotField showAll="0"/>
    <pivotField showAll="0"/>
    <pivotField axis="axisRow"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numFmtId="2" showAll="0"/>
    <pivotField showAll="0"/>
    <pivotField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9"/>
    <field x="3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 Fuel Cost" fld="8" baseField="0" baseItem="0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9" type="button" dataOnly="0" labelOnly="1" outline="0" axis="axisRow" fieldPosition="0"/>
    </format>
    <format dxfId="2">
      <pivotArea dataOnly="0" labelOnly="1" fieldPosition="0">
        <references count="1">
          <reference field="9" count="6">
            <x v="1"/>
            <x v="2"/>
            <x v="3"/>
            <x v="4"/>
            <x v="5"/>
            <x v="6"/>
          </reference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E53248-10AA-42AB-B6BE-CD3041703EE4}" name="Table1" displayName="Table1" ref="A16:B25" totalsRowShown="0" headerRowDxfId="46" dataDxfId="45">
  <autoFilter ref="A16:B25" xr:uid="{37E53248-10AA-42AB-B6BE-CD3041703EE4}"/>
  <tableColumns count="2">
    <tableColumn id="1" xr3:uid="{26BE9E1A-F087-4777-884A-58426911E2E4}" name="Column" dataDxfId="44"/>
    <tableColumn id="2" xr3:uid="{87EB2D1A-211A-4E88-9C11-332A9AF5C7F1}" name="Purpose" dataDxfId="43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A8FAD8D-C6FA-4C44-AAA0-A0439557C5E0}" name="Table3" displayName="Table3" ref="A1:B5" totalsRowShown="0" headerRowDxfId="42" headerRowBorderDxfId="41" tableBorderDxfId="40" totalsRowBorderDxfId="39">
  <autoFilter ref="A1:B5" xr:uid="{4A8FAD8D-C6FA-4C44-AAA0-A0439557C5E0}"/>
  <tableColumns count="2">
    <tableColumn id="1" xr3:uid="{93577D49-7AC2-49A8-BDE2-E74987C8E089}" name="Aircraft Type" dataDxfId="38"/>
    <tableColumn id="2" xr3:uid="{86B5294B-21D4-4945-B7F0-E79766AD8EEB}" name="Fuel Burn Rate (L/hr)" dataDxfId="37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1AC7092-E99B-45FA-B050-365B42AA038A}" name="Table4" displayName="Table4" ref="A1:J6" totalsRowShown="0" headerRowDxfId="36" dataDxfId="34" headerRowBorderDxfId="35" tableBorderDxfId="33" totalsRowBorderDxfId="32">
  <autoFilter ref="A1:J6" xr:uid="{91AC7092-E99B-45FA-B050-365B42AA038A}"/>
  <tableColumns count="10">
    <tableColumn id="1" xr3:uid="{E76A27E4-7064-4558-9502-55199A59697B}" name="Route" dataDxfId="31"/>
    <tableColumn id="2" xr3:uid="{72D466E4-4063-4821-9378-F7C8760EE293}" name="Aircraft Type" dataDxfId="30"/>
    <tableColumn id="3" xr3:uid="{6C282177-4908-483B-B675-3DFF6FDD6F12}" name="Duration" dataDxfId="29"/>
    <tableColumn id="4" xr3:uid="{31EDFF92-CBDC-4D63-A7CC-89ACA2919710}" name="Haul" dataDxfId="28"/>
    <tableColumn id="5" xr3:uid="{F4B612BA-346F-427E-B984-58A1CAB07DD8}" name="Burn Rate X Duration" dataDxfId="27"/>
    <tableColumn id="7" xr3:uid="{E4675CFD-7EB6-4DA2-9D93-08C066377DFA}" name="Burn Rate (L/hr)" dataDxfId="26">
      <calculatedColumnFormula>VLOOKUP(Table4[[#This Row],[Aircraft Type]], 'Fuel Burn rate'!$A$2:$B$6, 2,)</calculatedColumnFormula>
    </tableColumn>
    <tableColumn id="8" xr3:uid="{5CF86274-BA35-4FA0-AA22-22FBC1699B8F}" name="Fuel Consumed" dataDxfId="25"/>
    <tableColumn id="9" xr3:uid="{273D1019-6F62-42B7-BA45-C625475A622E}" name="By hand" dataDxfId="24"/>
    <tableColumn id="10" xr3:uid="{4CD59511-F174-48DA-9776-3D38CFF1E509}" name="Duration By Formula" dataDxfId="23">
      <calculatedColumnFormula>LEFT(C2,FIND("h",C2)-1) + MID(C2,FIND("h",C2)+2,2)/60</calculatedColumnFormula>
    </tableColumn>
    <tableColumn id="13" xr3:uid="{94ED1BD3-79E0-49F8-A2EF-7411871B5C24}" name="Column1" dataDxfId="22">
      <calculatedColumnFormula>RANDBETWEEN((F2*I2)*0.9,(F2*I2)*1.1)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82448-758F-4893-A8B0-8376C56C3B2A}">
  <dimension ref="A1:E49"/>
  <sheetViews>
    <sheetView topLeftCell="A26" workbookViewId="0">
      <selection activeCell="A33" sqref="A33"/>
    </sheetView>
  </sheetViews>
  <sheetFormatPr defaultRowHeight="15.75" x14ac:dyDescent="0.25"/>
  <cols>
    <col min="1" max="1" width="62" customWidth="1"/>
    <col min="2" max="2" width="44.25" customWidth="1"/>
    <col min="4" max="4" width="14.375" bestFit="1" customWidth="1"/>
    <col min="5" max="5" width="15.875" bestFit="1" customWidth="1"/>
  </cols>
  <sheetData>
    <row r="1" spans="1:5" x14ac:dyDescent="0.25">
      <c r="A1" s="32" t="s">
        <v>5</v>
      </c>
      <c r="B1" s="32"/>
      <c r="C1" s="32"/>
      <c r="D1" s="32"/>
      <c r="E1" s="32"/>
    </row>
    <row r="6" spans="1:5" x14ac:dyDescent="0.25">
      <c r="A6" t="s">
        <v>6</v>
      </c>
    </row>
    <row r="8" spans="1:5" ht="24.95" customHeight="1" x14ac:dyDescent="0.25">
      <c r="A8" s="2" t="s">
        <v>0</v>
      </c>
    </row>
    <row r="9" spans="1:5" ht="24.95" customHeight="1" x14ac:dyDescent="0.25">
      <c r="A9" s="1"/>
    </row>
    <row r="10" spans="1:5" ht="48" customHeight="1" x14ac:dyDescent="0.25">
      <c r="A10" s="1" t="s">
        <v>1</v>
      </c>
    </row>
    <row r="11" spans="1:5" ht="24.95" customHeight="1" x14ac:dyDescent="0.25">
      <c r="A11" s="1"/>
    </row>
    <row r="12" spans="1:5" ht="24.95" customHeight="1" x14ac:dyDescent="0.25">
      <c r="A12" s="1" t="s">
        <v>2</v>
      </c>
    </row>
    <row r="13" spans="1:5" ht="24.95" customHeight="1" x14ac:dyDescent="0.25">
      <c r="A13" s="1" t="s">
        <v>3</v>
      </c>
    </row>
    <row r="14" spans="1:5" ht="24.95" customHeight="1" x14ac:dyDescent="0.25">
      <c r="A14" s="1" t="s">
        <v>4</v>
      </c>
    </row>
    <row r="16" spans="1:5" x14ac:dyDescent="0.25">
      <c r="A16" s="4" t="s">
        <v>7</v>
      </c>
      <c r="B16" s="4" t="s">
        <v>8</v>
      </c>
    </row>
    <row r="17" spans="1:2" x14ac:dyDescent="0.25">
      <c r="A17" s="4"/>
      <c r="B17" s="4"/>
    </row>
    <row r="18" spans="1:2" x14ac:dyDescent="0.25">
      <c r="A18" s="4" t="s">
        <v>9</v>
      </c>
      <c r="B18" s="4" t="s">
        <v>10</v>
      </c>
    </row>
    <row r="19" spans="1:2" x14ac:dyDescent="0.25">
      <c r="A19" s="4" t="s">
        <v>11</v>
      </c>
      <c r="B19" s="4" t="s">
        <v>12</v>
      </c>
    </row>
    <row r="20" spans="1:2" x14ac:dyDescent="0.25">
      <c r="A20" s="4" t="s">
        <v>13</v>
      </c>
      <c r="B20" s="4" t="s">
        <v>14</v>
      </c>
    </row>
    <row r="21" spans="1:2" x14ac:dyDescent="0.25">
      <c r="A21" s="4" t="s">
        <v>15</v>
      </c>
      <c r="B21" s="4" t="s">
        <v>16</v>
      </c>
    </row>
    <row r="22" spans="1:2" x14ac:dyDescent="0.25">
      <c r="A22" s="4" t="s">
        <v>17</v>
      </c>
      <c r="B22" s="4" t="s">
        <v>18</v>
      </c>
    </row>
    <row r="23" spans="1:2" ht="39.75" customHeight="1" x14ac:dyDescent="0.25">
      <c r="A23" s="4" t="s">
        <v>19</v>
      </c>
      <c r="B23" s="4" t="s">
        <v>20</v>
      </c>
    </row>
    <row r="24" spans="1:2" x14ac:dyDescent="0.25">
      <c r="A24" s="4" t="s">
        <v>21</v>
      </c>
      <c r="B24" s="4" t="s">
        <v>22</v>
      </c>
    </row>
    <row r="25" spans="1:2" x14ac:dyDescent="0.25">
      <c r="A25" s="4" t="s">
        <v>23</v>
      </c>
      <c r="B25" s="4" t="s">
        <v>24</v>
      </c>
    </row>
    <row r="28" spans="1:2" ht="78.75" x14ac:dyDescent="0.25">
      <c r="A28" s="17" t="s">
        <v>49</v>
      </c>
    </row>
    <row r="30" spans="1:2" ht="78.75" x14ac:dyDescent="0.25">
      <c r="A30" s="17" t="s">
        <v>53</v>
      </c>
    </row>
    <row r="31" spans="1:2" x14ac:dyDescent="0.25">
      <c r="A31" s="3"/>
    </row>
    <row r="32" spans="1:2" x14ac:dyDescent="0.25">
      <c r="A32" s="3"/>
    </row>
    <row r="33" spans="1:1" x14ac:dyDescent="0.25">
      <c r="A33" s="3"/>
    </row>
    <row r="34" spans="1:1" x14ac:dyDescent="0.25">
      <c r="A34" s="3"/>
    </row>
    <row r="35" spans="1:1" x14ac:dyDescent="0.25">
      <c r="A35" s="3"/>
    </row>
    <row r="36" spans="1:1" x14ac:dyDescent="0.25">
      <c r="A36" s="3"/>
    </row>
    <row r="37" spans="1:1" x14ac:dyDescent="0.25">
      <c r="A37" s="3"/>
    </row>
    <row r="38" spans="1:1" x14ac:dyDescent="0.25">
      <c r="A38" s="3"/>
    </row>
    <row r="39" spans="1:1" x14ac:dyDescent="0.25">
      <c r="A39" s="3"/>
    </row>
    <row r="40" spans="1:1" x14ac:dyDescent="0.25">
      <c r="A40" s="3"/>
    </row>
    <row r="41" spans="1:1" x14ac:dyDescent="0.25">
      <c r="A41" s="3"/>
    </row>
    <row r="42" spans="1:1" x14ac:dyDescent="0.25">
      <c r="A42" s="3"/>
    </row>
    <row r="43" spans="1:1" x14ac:dyDescent="0.25">
      <c r="A43" s="3"/>
    </row>
    <row r="44" spans="1:1" x14ac:dyDescent="0.25">
      <c r="A44" s="3"/>
    </row>
    <row r="45" spans="1:1" x14ac:dyDescent="0.25">
      <c r="A45" s="3"/>
    </row>
    <row r="46" spans="1:1" x14ac:dyDescent="0.25">
      <c r="A46" s="3"/>
    </row>
    <row r="47" spans="1:1" x14ac:dyDescent="0.25">
      <c r="A47" s="3"/>
    </row>
    <row r="48" spans="1:1" x14ac:dyDescent="0.25">
      <c r="A48" s="3"/>
    </row>
    <row r="49" spans="1:1" x14ac:dyDescent="0.25">
      <c r="A49" s="3"/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FC211-42E2-4105-BEFE-DA7032500E7E}">
  <dimension ref="A1:P241"/>
  <sheetViews>
    <sheetView zoomScale="73" zoomScaleNormal="100" workbookViewId="0">
      <selection activeCell="C15" sqref="C15"/>
    </sheetView>
  </sheetViews>
  <sheetFormatPr defaultRowHeight="15.75" x14ac:dyDescent="0.25"/>
  <cols>
    <col min="1" max="1" width="14.125" bestFit="1" customWidth="1"/>
    <col min="2" max="2" width="17.125" bestFit="1" customWidth="1"/>
    <col min="3" max="3" width="21.875" bestFit="1" customWidth="1"/>
    <col min="4" max="4" width="11.375" bestFit="1" customWidth="1"/>
    <col min="5" max="5" width="23.625" bestFit="1" customWidth="1"/>
    <col min="6" max="6" width="18.625" bestFit="1" customWidth="1"/>
    <col min="7" max="7" width="25" bestFit="1" customWidth="1"/>
    <col min="8" max="8" width="18.625" bestFit="1" customWidth="1"/>
    <col min="9" max="9" width="19.625" bestFit="1" customWidth="1"/>
  </cols>
  <sheetData>
    <row r="1" spans="1:16" s="39" customFormat="1" ht="21" x14ac:dyDescent="0.35">
      <c r="A1" s="38" t="s">
        <v>47</v>
      </c>
      <c r="B1" s="38" t="s">
        <v>11</v>
      </c>
      <c r="C1" s="38" t="s">
        <v>13</v>
      </c>
      <c r="D1" s="38" t="s">
        <v>15</v>
      </c>
      <c r="E1" s="38" t="s">
        <v>118</v>
      </c>
      <c r="F1" s="38" t="s">
        <v>17</v>
      </c>
      <c r="G1" s="38" t="s">
        <v>48</v>
      </c>
      <c r="H1" s="38" t="s">
        <v>21</v>
      </c>
      <c r="I1" s="38" t="s">
        <v>23</v>
      </c>
    </row>
    <row r="2" spans="1:16" x14ac:dyDescent="0.25">
      <c r="A2" s="9" t="s">
        <v>70</v>
      </c>
      <c r="B2" s="28" t="s">
        <v>26</v>
      </c>
      <c r="C2" s="28" t="s">
        <v>30</v>
      </c>
      <c r="D2" s="34">
        <v>46039</v>
      </c>
      <c r="E2" s="28">
        <v>2500</v>
      </c>
      <c r="F2" s="31">
        <v>2</v>
      </c>
      <c r="G2" s="9">
        <v>5409</v>
      </c>
      <c r="H2" s="9">
        <v>0.7</v>
      </c>
      <c r="I2" s="9">
        <v>3786.2999999999997</v>
      </c>
    </row>
    <row r="3" spans="1:16" x14ac:dyDescent="0.25">
      <c r="A3" s="9" t="s">
        <v>71</v>
      </c>
      <c r="B3" s="28" t="s">
        <v>26</v>
      </c>
      <c r="C3" s="28" t="s">
        <v>30</v>
      </c>
      <c r="D3" s="34">
        <v>46037</v>
      </c>
      <c r="E3" s="28">
        <v>2500</v>
      </c>
      <c r="F3" s="31">
        <v>2</v>
      </c>
      <c r="G3" s="9">
        <v>4814</v>
      </c>
      <c r="H3" s="9">
        <v>0.7</v>
      </c>
      <c r="I3" s="9">
        <v>3369.7999999999997</v>
      </c>
    </row>
    <row r="4" spans="1:16" x14ac:dyDescent="0.25">
      <c r="A4" s="9" t="s">
        <v>72</v>
      </c>
      <c r="B4" s="28" t="s">
        <v>26</v>
      </c>
      <c r="C4" s="28" t="s">
        <v>30</v>
      </c>
      <c r="D4" s="34">
        <v>46027</v>
      </c>
      <c r="E4" s="28">
        <v>2500</v>
      </c>
      <c r="F4" s="31">
        <v>2</v>
      </c>
      <c r="G4" s="9">
        <v>5252</v>
      </c>
      <c r="H4" s="9">
        <v>0.7</v>
      </c>
      <c r="I4" s="9">
        <v>3676.3999999999996</v>
      </c>
    </row>
    <row r="5" spans="1:16" x14ac:dyDescent="0.25">
      <c r="A5" s="9" t="s">
        <v>73</v>
      </c>
      <c r="B5" s="28" t="s">
        <v>26</v>
      </c>
      <c r="C5" s="28" t="s">
        <v>30</v>
      </c>
      <c r="D5" s="34">
        <v>46043</v>
      </c>
      <c r="E5" s="28">
        <v>2500</v>
      </c>
      <c r="F5" s="31">
        <v>2</v>
      </c>
      <c r="G5" s="9">
        <v>5213</v>
      </c>
      <c r="H5" s="9">
        <v>0.7</v>
      </c>
      <c r="I5" s="9">
        <v>3649.1</v>
      </c>
      <c r="K5" t="str">
        <f>TEXT(D2,"mmm-yy")</f>
        <v>Jan-26</v>
      </c>
    </row>
    <row r="6" spans="1:16" x14ac:dyDescent="0.25">
      <c r="A6" s="9" t="s">
        <v>74</v>
      </c>
      <c r="B6" s="28" t="s">
        <v>26</v>
      </c>
      <c r="C6" s="28" t="s">
        <v>30</v>
      </c>
      <c r="D6" s="34">
        <v>46042</v>
      </c>
      <c r="E6" s="28">
        <v>2500</v>
      </c>
      <c r="F6" s="31">
        <v>2</v>
      </c>
      <c r="G6" s="9">
        <v>4964</v>
      </c>
      <c r="H6" s="9">
        <v>0.7</v>
      </c>
      <c r="I6" s="9">
        <v>3474.7999999999997</v>
      </c>
    </row>
    <row r="7" spans="1:16" x14ac:dyDescent="0.25">
      <c r="A7" s="9" t="s">
        <v>75</v>
      </c>
      <c r="B7" s="28" t="s">
        <v>26</v>
      </c>
      <c r="C7" s="28" t="s">
        <v>30</v>
      </c>
      <c r="D7" s="34">
        <v>46042</v>
      </c>
      <c r="E7" s="28">
        <v>2500</v>
      </c>
      <c r="F7" s="31">
        <v>2</v>
      </c>
      <c r="G7" s="9">
        <v>5226</v>
      </c>
      <c r="H7" s="9">
        <v>0.7</v>
      </c>
      <c r="I7" s="9">
        <v>3658.2</v>
      </c>
      <c r="K7">
        <f>MONTH(D2)</f>
        <v>1</v>
      </c>
    </row>
    <row r="8" spans="1:16" x14ac:dyDescent="0.25">
      <c r="A8" s="9" t="s">
        <v>76</v>
      </c>
      <c r="B8" s="28" t="s">
        <v>26</v>
      </c>
      <c r="C8" s="28" t="s">
        <v>30</v>
      </c>
      <c r="D8" s="34">
        <v>46031</v>
      </c>
      <c r="E8" s="28">
        <v>2500</v>
      </c>
      <c r="F8" s="31">
        <v>2</v>
      </c>
      <c r="G8" s="9">
        <v>5299</v>
      </c>
      <c r="H8" s="9">
        <v>0.7</v>
      </c>
      <c r="I8" s="9">
        <v>3709.2999999999997</v>
      </c>
    </row>
    <row r="9" spans="1:16" x14ac:dyDescent="0.25">
      <c r="A9" s="9" t="s">
        <v>77</v>
      </c>
      <c r="B9" s="28" t="s">
        <v>26</v>
      </c>
      <c r="C9" s="28" t="s">
        <v>30</v>
      </c>
      <c r="D9" s="34">
        <v>46048</v>
      </c>
      <c r="E9" s="28">
        <v>2500</v>
      </c>
      <c r="F9" s="31">
        <v>2</v>
      </c>
      <c r="G9" s="9">
        <v>5254</v>
      </c>
      <c r="H9" s="9">
        <v>0.7</v>
      </c>
      <c r="I9" s="9">
        <v>3677.7999999999997</v>
      </c>
    </row>
    <row r="10" spans="1:16" x14ac:dyDescent="0.25">
      <c r="A10" s="9" t="s">
        <v>78</v>
      </c>
      <c r="B10" s="28" t="s">
        <v>26</v>
      </c>
      <c r="C10" s="28" t="s">
        <v>30</v>
      </c>
      <c r="D10" s="34">
        <v>46071</v>
      </c>
      <c r="E10" s="28">
        <v>2500</v>
      </c>
      <c r="F10" s="31">
        <v>2</v>
      </c>
      <c r="G10" s="9">
        <v>5006</v>
      </c>
      <c r="H10" s="9">
        <v>0.75</v>
      </c>
      <c r="I10" s="9">
        <v>3754.5</v>
      </c>
      <c r="P10">
        <f>0/8</f>
        <v>0</v>
      </c>
    </row>
    <row r="11" spans="1:16" x14ac:dyDescent="0.25">
      <c r="A11" s="9" t="s">
        <v>79</v>
      </c>
      <c r="B11" s="28" t="s">
        <v>26</v>
      </c>
      <c r="C11" s="28" t="s">
        <v>30</v>
      </c>
      <c r="D11" s="34">
        <v>46058</v>
      </c>
      <c r="E11" s="28">
        <v>2500</v>
      </c>
      <c r="F11" s="31">
        <v>2</v>
      </c>
      <c r="G11" s="9">
        <v>4934</v>
      </c>
      <c r="H11" s="9">
        <v>0.75</v>
      </c>
      <c r="I11" s="9">
        <v>3700.5</v>
      </c>
      <c r="P11">
        <f>ROUNDUP(0.875,2)</f>
        <v>0.88</v>
      </c>
    </row>
    <row r="12" spans="1:16" x14ac:dyDescent="0.25">
      <c r="A12" s="9" t="s">
        <v>80</v>
      </c>
      <c r="B12" s="28" t="s">
        <v>26</v>
      </c>
      <c r="C12" s="28" t="s">
        <v>30</v>
      </c>
      <c r="D12" s="34">
        <v>46069</v>
      </c>
      <c r="E12" s="28">
        <v>2500</v>
      </c>
      <c r="F12" s="31">
        <v>2</v>
      </c>
      <c r="G12" s="9">
        <v>4768</v>
      </c>
      <c r="H12" s="9">
        <v>0.75</v>
      </c>
      <c r="I12" s="9">
        <v>3576</v>
      </c>
      <c r="P12">
        <f>ROUNDUP(1,1)</f>
        <v>1</v>
      </c>
    </row>
    <row r="13" spans="1:16" x14ac:dyDescent="0.25">
      <c r="A13" s="9" t="s">
        <v>81</v>
      </c>
      <c r="B13" s="28" t="s">
        <v>26</v>
      </c>
      <c r="C13" s="28" t="s">
        <v>30</v>
      </c>
      <c r="D13" s="34">
        <v>46056</v>
      </c>
      <c r="E13" s="28">
        <v>2500</v>
      </c>
      <c r="F13" s="31">
        <v>2</v>
      </c>
      <c r="G13" s="9">
        <v>4745</v>
      </c>
      <c r="H13" s="9">
        <v>0.75</v>
      </c>
      <c r="I13" s="9">
        <v>3558.75</v>
      </c>
    </row>
    <row r="14" spans="1:16" x14ac:dyDescent="0.25">
      <c r="A14" s="9" t="s">
        <v>82</v>
      </c>
      <c r="B14" s="28" t="s">
        <v>26</v>
      </c>
      <c r="C14" s="28" t="s">
        <v>30</v>
      </c>
      <c r="D14" s="34">
        <v>46067</v>
      </c>
      <c r="E14" s="28">
        <v>2500</v>
      </c>
      <c r="F14" s="31">
        <v>2</v>
      </c>
      <c r="G14" s="9">
        <v>4735</v>
      </c>
      <c r="H14" s="9">
        <v>0.75</v>
      </c>
      <c r="I14" s="9">
        <v>3551.25</v>
      </c>
    </row>
    <row r="15" spans="1:16" x14ac:dyDescent="0.25">
      <c r="A15" s="9" t="s">
        <v>83</v>
      </c>
      <c r="B15" s="28" t="s">
        <v>26</v>
      </c>
      <c r="C15" s="28" t="s">
        <v>30</v>
      </c>
      <c r="D15" s="34">
        <v>46061</v>
      </c>
      <c r="E15" s="28">
        <v>2500</v>
      </c>
      <c r="F15" s="31">
        <v>2</v>
      </c>
      <c r="G15" s="9">
        <v>5300</v>
      </c>
      <c r="H15" s="9">
        <v>0.75</v>
      </c>
      <c r="I15" s="9">
        <v>3975</v>
      </c>
    </row>
    <row r="16" spans="1:16" x14ac:dyDescent="0.25">
      <c r="A16" s="9" t="s">
        <v>84</v>
      </c>
      <c r="B16" s="28" t="s">
        <v>26</v>
      </c>
      <c r="C16" s="28" t="s">
        <v>30</v>
      </c>
      <c r="D16" s="34">
        <v>46064</v>
      </c>
      <c r="E16" s="28">
        <v>2500</v>
      </c>
      <c r="F16" s="31">
        <v>2</v>
      </c>
      <c r="G16" s="9">
        <v>4918</v>
      </c>
      <c r="H16" s="9">
        <v>0.75</v>
      </c>
      <c r="I16" s="9">
        <v>3688.5</v>
      </c>
    </row>
    <row r="17" spans="1:9" x14ac:dyDescent="0.25">
      <c r="A17" s="9" t="s">
        <v>85</v>
      </c>
      <c r="B17" s="28" t="s">
        <v>26</v>
      </c>
      <c r="C17" s="28" t="s">
        <v>30</v>
      </c>
      <c r="D17" s="34">
        <v>46065</v>
      </c>
      <c r="E17" s="28">
        <v>2500</v>
      </c>
      <c r="F17" s="31">
        <v>2</v>
      </c>
      <c r="G17" s="9">
        <v>4582</v>
      </c>
      <c r="H17" s="9">
        <v>0.75</v>
      </c>
      <c r="I17" s="9">
        <v>3436.5</v>
      </c>
    </row>
    <row r="18" spans="1:9" x14ac:dyDescent="0.25">
      <c r="A18" s="9" t="s">
        <v>86</v>
      </c>
      <c r="B18" s="28" t="s">
        <v>26</v>
      </c>
      <c r="C18" s="28" t="s">
        <v>30</v>
      </c>
      <c r="D18" s="34">
        <v>46101</v>
      </c>
      <c r="E18" s="28">
        <v>2500</v>
      </c>
      <c r="F18" s="31">
        <v>2</v>
      </c>
      <c r="G18" s="9">
        <v>5296</v>
      </c>
      <c r="H18" s="9">
        <v>0.8</v>
      </c>
      <c r="I18" s="9">
        <v>4236.8</v>
      </c>
    </row>
    <row r="19" spans="1:9" x14ac:dyDescent="0.25">
      <c r="A19" s="9" t="s">
        <v>87</v>
      </c>
      <c r="B19" s="28" t="s">
        <v>26</v>
      </c>
      <c r="C19" s="28" t="s">
        <v>30</v>
      </c>
      <c r="D19" s="34">
        <v>46095</v>
      </c>
      <c r="E19" s="28">
        <v>2500</v>
      </c>
      <c r="F19" s="31">
        <v>2</v>
      </c>
      <c r="G19" s="9">
        <v>4818</v>
      </c>
      <c r="H19" s="9">
        <v>0.8</v>
      </c>
      <c r="I19" s="9">
        <v>3854.4</v>
      </c>
    </row>
    <row r="20" spans="1:9" x14ac:dyDescent="0.25">
      <c r="A20" s="9" t="s">
        <v>88</v>
      </c>
      <c r="B20" s="28" t="s">
        <v>26</v>
      </c>
      <c r="C20" s="28" t="s">
        <v>30</v>
      </c>
      <c r="D20" s="34">
        <v>46083</v>
      </c>
      <c r="E20" s="28">
        <v>2500</v>
      </c>
      <c r="F20" s="31">
        <v>2</v>
      </c>
      <c r="G20" s="9">
        <v>5392</v>
      </c>
      <c r="H20" s="9">
        <v>0.8</v>
      </c>
      <c r="I20" s="9">
        <v>4313.6000000000004</v>
      </c>
    </row>
    <row r="21" spans="1:9" x14ac:dyDescent="0.25">
      <c r="A21" s="9" t="s">
        <v>89</v>
      </c>
      <c r="B21" s="28" t="s">
        <v>26</v>
      </c>
      <c r="C21" s="28" t="s">
        <v>30</v>
      </c>
      <c r="D21" s="34">
        <v>46105</v>
      </c>
      <c r="E21" s="28">
        <v>2500</v>
      </c>
      <c r="F21" s="31">
        <v>2</v>
      </c>
      <c r="G21" s="9">
        <v>5125</v>
      </c>
      <c r="H21" s="9">
        <v>0.8</v>
      </c>
      <c r="I21" s="9">
        <v>4100</v>
      </c>
    </row>
    <row r="22" spans="1:9" x14ac:dyDescent="0.25">
      <c r="A22" s="9" t="s">
        <v>90</v>
      </c>
      <c r="B22" s="28" t="s">
        <v>26</v>
      </c>
      <c r="C22" s="28" t="s">
        <v>30</v>
      </c>
      <c r="D22" s="34">
        <v>46104</v>
      </c>
      <c r="E22" s="28">
        <v>2500</v>
      </c>
      <c r="F22" s="31">
        <v>2</v>
      </c>
      <c r="G22" s="9">
        <v>4858</v>
      </c>
      <c r="H22" s="9">
        <v>0.8</v>
      </c>
      <c r="I22" s="9">
        <v>3886.4</v>
      </c>
    </row>
    <row r="23" spans="1:9" x14ac:dyDescent="0.25">
      <c r="A23" s="9" t="s">
        <v>91</v>
      </c>
      <c r="B23" s="28" t="s">
        <v>26</v>
      </c>
      <c r="C23" s="28" t="s">
        <v>30</v>
      </c>
      <c r="D23" s="34">
        <v>46096</v>
      </c>
      <c r="E23" s="28">
        <v>2500</v>
      </c>
      <c r="F23" s="31">
        <v>2</v>
      </c>
      <c r="G23" s="9">
        <v>4657</v>
      </c>
      <c r="H23" s="9">
        <v>0.8</v>
      </c>
      <c r="I23" s="9">
        <v>3725.6000000000004</v>
      </c>
    </row>
    <row r="24" spans="1:9" x14ac:dyDescent="0.25">
      <c r="A24" s="9" t="s">
        <v>92</v>
      </c>
      <c r="B24" s="28" t="s">
        <v>26</v>
      </c>
      <c r="C24" s="28" t="s">
        <v>30</v>
      </c>
      <c r="D24" s="34">
        <v>46095</v>
      </c>
      <c r="E24" s="28">
        <v>2500</v>
      </c>
      <c r="F24" s="31">
        <v>2</v>
      </c>
      <c r="G24" s="9">
        <v>4976</v>
      </c>
      <c r="H24" s="9">
        <v>0.8</v>
      </c>
      <c r="I24" s="9">
        <v>3980.8</v>
      </c>
    </row>
    <row r="25" spans="1:9" x14ac:dyDescent="0.25">
      <c r="A25" s="9" t="s">
        <v>93</v>
      </c>
      <c r="B25" s="28" t="s">
        <v>26</v>
      </c>
      <c r="C25" s="28" t="s">
        <v>30</v>
      </c>
      <c r="D25" s="34">
        <v>46085</v>
      </c>
      <c r="E25" s="28">
        <v>2500</v>
      </c>
      <c r="F25" s="31">
        <v>2</v>
      </c>
      <c r="G25" s="9">
        <v>5285</v>
      </c>
      <c r="H25" s="9">
        <v>0.8</v>
      </c>
      <c r="I25" s="9">
        <v>4228</v>
      </c>
    </row>
    <row r="26" spans="1:9" x14ac:dyDescent="0.25">
      <c r="A26" s="9" t="s">
        <v>94</v>
      </c>
      <c r="B26" s="28" t="s">
        <v>26</v>
      </c>
      <c r="C26" s="28" t="s">
        <v>30</v>
      </c>
      <c r="D26" s="34">
        <v>46137</v>
      </c>
      <c r="E26" s="28">
        <v>2500</v>
      </c>
      <c r="F26" s="31">
        <v>2</v>
      </c>
      <c r="G26" s="9">
        <v>5304</v>
      </c>
      <c r="H26" s="9">
        <v>0.85</v>
      </c>
      <c r="I26" s="9">
        <v>4508.3999999999996</v>
      </c>
    </row>
    <row r="27" spans="1:9" x14ac:dyDescent="0.25">
      <c r="A27" s="9" t="s">
        <v>95</v>
      </c>
      <c r="B27" s="28" t="s">
        <v>26</v>
      </c>
      <c r="C27" s="28" t="s">
        <v>30</v>
      </c>
      <c r="D27" s="34">
        <v>46129</v>
      </c>
      <c r="E27" s="28">
        <v>2500</v>
      </c>
      <c r="F27" s="31">
        <v>2</v>
      </c>
      <c r="G27" s="9">
        <v>5086</v>
      </c>
      <c r="H27" s="9">
        <v>0.85</v>
      </c>
      <c r="I27" s="9">
        <v>4323.0999999999995</v>
      </c>
    </row>
    <row r="28" spans="1:9" x14ac:dyDescent="0.25">
      <c r="A28" s="9" t="s">
        <v>96</v>
      </c>
      <c r="B28" s="28" t="s">
        <v>26</v>
      </c>
      <c r="C28" s="28" t="s">
        <v>30</v>
      </c>
      <c r="D28" s="34">
        <v>46117</v>
      </c>
      <c r="E28" s="28">
        <v>2500</v>
      </c>
      <c r="F28" s="31">
        <v>2</v>
      </c>
      <c r="G28" s="9">
        <v>4929</v>
      </c>
      <c r="H28" s="9">
        <v>0.85</v>
      </c>
      <c r="I28" s="9">
        <v>4189.6499999999996</v>
      </c>
    </row>
    <row r="29" spans="1:9" x14ac:dyDescent="0.25">
      <c r="A29" s="9" t="s">
        <v>97</v>
      </c>
      <c r="B29" s="28" t="s">
        <v>26</v>
      </c>
      <c r="C29" s="28" t="s">
        <v>30</v>
      </c>
      <c r="D29" s="34">
        <v>46137</v>
      </c>
      <c r="E29" s="28">
        <v>2500</v>
      </c>
      <c r="F29" s="31">
        <v>2</v>
      </c>
      <c r="G29" s="9">
        <v>4520</v>
      </c>
      <c r="H29" s="9">
        <v>0.85</v>
      </c>
      <c r="I29" s="9">
        <v>3842</v>
      </c>
    </row>
    <row r="30" spans="1:9" x14ac:dyDescent="0.25">
      <c r="A30" s="9" t="s">
        <v>98</v>
      </c>
      <c r="B30" s="28" t="s">
        <v>26</v>
      </c>
      <c r="C30" s="28" t="s">
        <v>30</v>
      </c>
      <c r="D30" s="34">
        <v>46140</v>
      </c>
      <c r="E30" s="28">
        <v>2500</v>
      </c>
      <c r="F30" s="31">
        <v>2</v>
      </c>
      <c r="G30" s="9">
        <v>5153</v>
      </c>
      <c r="H30" s="9">
        <v>0.85</v>
      </c>
      <c r="I30" s="9">
        <v>4380.05</v>
      </c>
    </row>
    <row r="31" spans="1:9" x14ac:dyDescent="0.25">
      <c r="A31" s="9" t="s">
        <v>99</v>
      </c>
      <c r="B31" s="28" t="s">
        <v>26</v>
      </c>
      <c r="C31" s="28" t="s">
        <v>30</v>
      </c>
      <c r="D31" s="34">
        <v>46129</v>
      </c>
      <c r="E31" s="28">
        <v>2500</v>
      </c>
      <c r="F31" s="31">
        <v>2</v>
      </c>
      <c r="G31" s="9">
        <v>4812</v>
      </c>
      <c r="H31" s="9">
        <v>0.85</v>
      </c>
      <c r="I31" s="9">
        <v>4090.2</v>
      </c>
    </row>
    <row r="32" spans="1:9" x14ac:dyDescent="0.25">
      <c r="A32" s="9" t="s">
        <v>100</v>
      </c>
      <c r="B32" s="28" t="s">
        <v>26</v>
      </c>
      <c r="C32" s="28" t="s">
        <v>30</v>
      </c>
      <c r="D32" s="34">
        <v>46133</v>
      </c>
      <c r="E32" s="28">
        <v>2500</v>
      </c>
      <c r="F32" s="31">
        <v>2</v>
      </c>
      <c r="G32" s="9">
        <v>5195</v>
      </c>
      <c r="H32" s="9">
        <v>0.85</v>
      </c>
      <c r="I32" s="9">
        <v>4415.75</v>
      </c>
    </row>
    <row r="33" spans="1:9" x14ac:dyDescent="0.25">
      <c r="A33" s="9" t="s">
        <v>101</v>
      </c>
      <c r="B33" s="28" t="s">
        <v>26</v>
      </c>
      <c r="C33" s="28" t="s">
        <v>30</v>
      </c>
      <c r="D33" s="34">
        <v>46130</v>
      </c>
      <c r="E33" s="28">
        <v>2500</v>
      </c>
      <c r="F33" s="31">
        <v>2</v>
      </c>
      <c r="G33" s="9">
        <v>4992</v>
      </c>
      <c r="H33" s="9">
        <v>0.85</v>
      </c>
      <c r="I33" s="9">
        <v>4243.2</v>
      </c>
    </row>
    <row r="34" spans="1:9" x14ac:dyDescent="0.25">
      <c r="A34" s="9" t="s">
        <v>102</v>
      </c>
      <c r="B34" s="28" t="s">
        <v>26</v>
      </c>
      <c r="C34" s="28" t="s">
        <v>30</v>
      </c>
      <c r="D34" s="34">
        <v>46145</v>
      </c>
      <c r="E34" s="28">
        <v>2500</v>
      </c>
      <c r="F34" s="31">
        <v>2</v>
      </c>
      <c r="G34" s="9">
        <v>5114</v>
      </c>
      <c r="H34" s="9">
        <v>0.9</v>
      </c>
      <c r="I34" s="9">
        <v>4602.6000000000004</v>
      </c>
    </row>
    <row r="35" spans="1:9" x14ac:dyDescent="0.25">
      <c r="A35" s="9" t="s">
        <v>103</v>
      </c>
      <c r="B35" s="28" t="s">
        <v>26</v>
      </c>
      <c r="C35" s="28" t="s">
        <v>30</v>
      </c>
      <c r="D35" s="34">
        <v>46166</v>
      </c>
      <c r="E35" s="28">
        <v>2500</v>
      </c>
      <c r="F35" s="31">
        <v>2</v>
      </c>
      <c r="G35" s="9">
        <v>4856</v>
      </c>
      <c r="H35" s="9">
        <v>0.9</v>
      </c>
      <c r="I35" s="9">
        <v>4370.4000000000005</v>
      </c>
    </row>
    <row r="36" spans="1:9" x14ac:dyDescent="0.25">
      <c r="A36" s="9" t="s">
        <v>104</v>
      </c>
      <c r="B36" s="28" t="s">
        <v>26</v>
      </c>
      <c r="C36" s="28" t="s">
        <v>30</v>
      </c>
      <c r="D36" s="34">
        <v>46162</v>
      </c>
      <c r="E36" s="28">
        <v>2500</v>
      </c>
      <c r="F36" s="31">
        <v>2</v>
      </c>
      <c r="G36" s="9">
        <v>4827</v>
      </c>
      <c r="H36" s="9">
        <v>0.9</v>
      </c>
      <c r="I36" s="9">
        <v>4344.3</v>
      </c>
    </row>
    <row r="37" spans="1:9" x14ac:dyDescent="0.25">
      <c r="A37" s="9" t="s">
        <v>105</v>
      </c>
      <c r="B37" s="28" t="s">
        <v>26</v>
      </c>
      <c r="C37" s="28" t="s">
        <v>30</v>
      </c>
      <c r="D37" s="34">
        <v>46149</v>
      </c>
      <c r="E37" s="28">
        <v>2500</v>
      </c>
      <c r="F37" s="31">
        <v>2</v>
      </c>
      <c r="G37" s="9">
        <v>5474</v>
      </c>
      <c r="H37" s="9">
        <v>0.9</v>
      </c>
      <c r="I37" s="9">
        <v>4926.6000000000004</v>
      </c>
    </row>
    <row r="38" spans="1:9" x14ac:dyDescent="0.25">
      <c r="A38" s="9" t="s">
        <v>106</v>
      </c>
      <c r="B38" s="28" t="s">
        <v>26</v>
      </c>
      <c r="C38" s="28" t="s">
        <v>30</v>
      </c>
      <c r="D38" s="34">
        <v>46169</v>
      </c>
      <c r="E38" s="28">
        <v>2500</v>
      </c>
      <c r="F38" s="31">
        <v>2</v>
      </c>
      <c r="G38" s="9">
        <v>4709</v>
      </c>
      <c r="H38" s="9">
        <v>0.9</v>
      </c>
      <c r="I38" s="9">
        <v>4238.1000000000004</v>
      </c>
    </row>
    <row r="39" spans="1:9" x14ac:dyDescent="0.25">
      <c r="A39" s="9" t="s">
        <v>107</v>
      </c>
      <c r="B39" s="28" t="s">
        <v>26</v>
      </c>
      <c r="C39" s="28" t="s">
        <v>30</v>
      </c>
      <c r="D39" s="34">
        <v>46155</v>
      </c>
      <c r="E39" s="28">
        <v>2500</v>
      </c>
      <c r="F39" s="31">
        <v>2</v>
      </c>
      <c r="G39" s="9">
        <v>5284</v>
      </c>
      <c r="H39" s="9">
        <v>0.9</v>
      </c>
      <c r="I39" s="9">
        <v>4755.6000000000004</v>
      </c>
    </row>
    <row r="40" spans="1:9" x14ac:dyDescent="0.25">
      <c r="A40" s="9" t="s">
        <v>108</v>
      </c>
      <c r="B40" s="28" t="s">
        <v>26</v>
      </c>
      <c r="C40" s="28" t="s">
        <v>30</v>
      </c>
      <c r="D40" s="34">
        <v>46164</v>
      </c>
      <c r="E40" s="28">
        <v>2500</v>
      </c>
      <c r="F40" s="31">
        <v>2</v>
      </c>
      <c r="G40" s="9">
        <v>4992</v>
      </c>
      <c r="H40" s="9">
        <v>0.9</v>
      </c>
      <c r="I40" s="9">
        <v>4492.8</v>
      </c>
    </row>
    <row r="41" spans="1:9" x14ac:dyDescent="0.25">
      <c r="A41" s="9" t="s">
        <v>109</v>
      </c>
      <c r="B41" s="28" t="s">
        <v>26</v>
      </c>
      <c r="C41" s="28" t="s">
        <v>30</v>
      </c>
      <c r="D41" s="34">
        <v>46157</v>
      </c>
      <c r="E41" s="28">
        <v>2500</v>
      </c>
      <c r="F41" s="31">
        <v>2</v>
      </c>
      <c r="G41" s="9">
        <v>4588</v>
      </c>
      <c r="H41" s="9">
        <v>0.9</v>
      </c>
      <c r="I41" s="9">
        <v>4129.2</v>
      </c>
    </row>
    <row r="42" spans="1:9" x14ac:dyDescent="0.25">
      <c r="A42" s="9" t="s">
        <v>110</v>
      </c>
      <c r="B42" s="28" t="s">
        <v>26</v>
      </c>
      <c r="C42" s="28" t="s">
        <v>30</v>
      </c>
      <c r="D42" s="34">
        <v>46176</v>
      </c>
      <c r="E42" s="28">
        <v>2500</v>
      </c>
      <c r="F42" s="31">
        <v>2</v>
      </c>
      <c r="G42" s="9">
        <v>4503</v>
      </c>
      <c r="H42" s="9">
        <v>0.89</v>
      </c>
      <c r="I42" s="9">
        <v>4007.67</v>
      </c>
    </row>
    <row r="43" spans="1:9" x14ac:dyDescent="0.25">
      <c r="A43" s="9" t="s">
        <v>111</v>
      </c>
      <c r="B43" s="28" t="s">
        <v>26</v>
      </c>
      <c r="C43" s="28" t="s">
        <v>30</v>
      </c>
      <c r="D43" s="34">
        <v>46190</v>
      </c>
      <c r="E43" s="28">
        <v>2500</v>
      </c>
      <c r="F43" s="31">
        <v>2</v>
      </c>
      <c r="G43" s="9">
        <v>4559</v>
      </c>
      <c r="H43" s="9">
        <v>0.89</v>
      </c>
      <c r="I43" s="9">
        <v>4057.51</v>
      </c>
    </row>
    <row r="44" spans="1:9" x14ac:dyDescent="0.25">
      <c r="A44" s="9" t="s">
        <v>112</v>
      </c>
      <c r="B44" s="28" t="s">
        <v>26</v>
      </c>
      <c r="C44" s="28" t="s">
        <v>30</v>
      </c>
      <c r="D44" s="34">
        <v>46197</v>
      </c>
      <c r="E44" s="28">
        <v>2500</v>
      </c>
      <c r="F44" s="31">
        <v>2</v>
      </c>
      <c r="G44" s="9">
        <v>5069</v>
      </c>
      <c r="H44" s="9">
        <v>0.89</v>
      </c>
      <c r="I44" s="9">
        <v>4511.41</v>
      </c>
    </row>
    <row r="45" spans="1:9" x14ac:dyDescent="0.25">
      <c r="A45" s="9" t="s">
        <v>113</v>
      </c>
      <c r="B45" s="28" t="s">
        <v>26</v>
      </c>
      <c r="C45" s="28" t="s">
        <v>30</v>
      </c>
      <c r="D45" s="34">
        <v>46185</v>
      </c>
      <c r="E45" s="28">
        <v>2500</v>
      </c>
      <c r="F45" s="31">
        <v>2</v>
      </c>
      <c r="G45" s="9">
        <v>5106</v>
      </c>
      <c r="H45" s="9">
        <v>0.89</v>
      </c>
      <c r="I45" s="9">
        <v>4544.34</v>
      </c>
    </row>
    <row r="46" spans="1:9" x14ac:dyDescent="0.25">
      <c r="A46" s="9" t="s">
        <v>114</v>
      </c>
      <c r="B46" s="28" t="s">
        <v>26</v>
      </c>
      <c r="C46" s="28" t="s">
        <v>30</v>
      </c>
      <c r="D46" s="34">
        <v>46190</v>
      </c>
      <c r="E46" s="28">
        <v>2500</v>
      </c>
      <c r="F46" s="31">
        <v>2</v>
      </c>
      <c r="G46" s="9">
        <v>5204</v>
      </c>
      <c r="H46" s="9">
        <v>0.89</v>
      </c>
      <c r="I46" s="9">
        <v>4631.5600000000004</v>
      </c>
    </row>
    <row r="47" spans="1:9" x14ac:dyDescent="0.25">
      <c r="A47" s="9" t="s">
        <v>115</v>
      </c>
      <c r="B47" s="28" t="s">
        <v>26</v>
      </c>
      <c r="C47" s="28" t="s">
        <v>30</v>
      </c>
      <c r="D47" s="34">
        <v>46180</v>
      </c>
      <c r="E47" s="28">
        <v>2500</v>
      </c>
      <c r="F47" s="31">
        <v>2</v>
      </c>
      <c r="G47" s="9">
        <v>5478</v>
      </c>
      <c r="H47" s="9">
        <v>0.89</v>
      </c>
      <c r="I47" s="9">
        <v>4875.42</v>
      </c>
    </row>
    <row r="48" spans="1:9" x14ac:dyDescent="0.25">
      <c r="A48" s="9" t="s">
        <v>116</v>
      </c>
      <c r="B48" s="28" t="s">
        <v>26</v>
      </c>
      <c r="C48" s="28" t="s">
        <v>30</v>
      </c>
      <c r="D48" s="34">
        <v>46198</v>
      </c>
      <c r="E48" s="28">
        <v>2500</v>
      </c>
      <c r="F48" s="31">
        <v>2</v>
      </c>
      <c r="G48" s="9">
        <v>4634</v>
      </c>
      <c r="H48" s="9">
        <v>0.89</v>
      </c>
      <c r="I48" s="9">
        <v>4124.26</v>
      </c>
    </row>
    <row r="49" spans="1:9" x14ac:dyDescent="0.25">
      <c r="A49" s="9" t="s">
        <v>117</v>
      </c>
      <c r="B49" s="28" t="s">
        <v>26</v>
      </c>
      <c r="C49" s="28" t="s">
        <v>30</v>
      </c>
      <c r="D49" s="34">
        <v>46201</v>
      </c>
      <c r="E49" s="28">
        <v>2500</v>
      </c>
      <c r="F49" s="31">
        <v>2</v>
      </c>
      <c r="G49" s="9">
        <v>5202</v>
      </c>
      <c r="H49" s="9">
        <v>0.89</v>
      </c>
      <c r="I49" s="9">
        <v>4629.78</v>
      </c>
    </row>
    <row r="50" spans="1:9" x14ac:dyDescent="0.25">
      <c r="A50" s="35" t="s">
        <v>120</v>
      </c>
      <c r="B50" s="28" t="s">
        <v>27</v>
      </c>
      <c r="C50" s="28" t="s">
        <v>32</v>
      </c>
      <c r="D50" s="36">
        <v>46032</v>
      </c>
      <c r="E50" s="37">
        <v>2600</v>
      </c>
      <c r="F50" s="31">
        <v>1.91</v>
      </c>
      <c r="G50" s="9">
        <v>4565</v>
      </c>
      <c r="H50" s="9">
        <v>0.7</v>
      </c>
      <c r="I50" s="9">
        <v>3195.5</v>
      </c>
    </row>
    <row r="51" spans="1:9" x14ac:dyDescent="0.25">
      <c r="A51" s="35" t="s">
        <v>121</v>
      </c>
      <c r="B51" s="28" t="s">
        <v>27</v>
      </c>
      <c r="C51" s="28" t="s">
        <v>32</v>
      </c>
      <c r="D51" s="36">
        <v>46025</v>
      </c>
      <c r="E51" s="37">
        <v>2600</v>
      </c>
      <c r="F51" s="31">
        <v>1.91</v>
      </c>
      <c r="G51" s="9">
        <v>5428</v>
      </c>
      <c r="H51" s="9">
        <v>0.7</v>
      </c>
      <c r="I51" s="9">
        <v>3799.6</v>
      </c>
    </row>
    <row r="52" spans="1:9" x14ac:dyDescent="0.25">
      <c r="A52" s="35" t="s">
        <v>122</v>
      </c>
      <c r="B52" s="28" t="s">
        <v>27</v>
      </c>
      <c r="C52" s="28" t="s">
        <v>32</v>
      </c>
      <c r="D52" s="36">
        <v>46029</v>
      </c>
      <c r="E52" s="37">
        <v>2600</v>
      </c>
      <c r="F52" s="31">
        <v>1.91</v>
      </c>
      <c r="G52" s="9">
        <v>5401</v>
      </c>
      <c r="H52" s="9">
        <v>0.7</v>
      </c>
      <c r="I52" s="9">
        <v>3780.7</v>
      </c>
    </row>
    <row r="53" spans="1:9" x14ac:dyDescent="0.25">
      <c r="A53" s="35" t="s">
        <v>123</v>
      </c>
      <c r="B53" s="28" t="s">
        <v>27</v>
      </c>
      <c r="C53" s="28" t="s">
        <v>32</v>
      </c>
      <c r="D53" s="36">
        <v>46041</v>
      </c>
      <c r="E53" s="37">
        <v>2600</v>
      </c>
      <c r="F53" s="31">
        <v>1.91</v>
      </c>
      <c r="G53" s="9">
        <v>4519</v>
      </c>
      <c r="H53" s="9">
        <v>0.7</v>
      </c>
      <c r="I53" s="9">
        <v>3163.2999999999997</v>
      </c>
    </row>
    <row r="54" spans="1:9" x14ac:dyDescent="0.25">
      <c r="A54" s="35" t="s">
        <v>124</v>
      </c>
      <c r="B54" s="28" t="s">
        <v>27</v>
      </c>
      <c r="C54" s="28" t="s">
        <v>32</v>
      </c>
      <c r="D54" s="36">
        <v>46050</v>
      </c>
      <c r="E54" s="37">
        <v>2600</v>
      </c>
      <c r="F54" s="31">
        <v>1.91</v>
      </c>
      <c r="G54" s="9">
        <v>5316</v>
      </c>
      <c r="H54" s="9">
        <v>0.7</v>
      </c>
      <c r="I54" s="9">
        <v>3721.2</v>
      </c>
    </row>
    <row r="55" spans="1:9" x14ac:dyDescent="0.25">
      <c r="A55" s="35" t="s">
        <v>125</v>
      </c>
      <c r="B55" s="28" t="s">
        <v>27</v>
      </c>
      <c r="C55" s="28" t="s">
        <v>32</v>
      </c>
      <c r="D55" s="36">
        <v>46030</v>
      </c>
      <c r="E55" s="37">
        <v>2600</v>
      </c>
      <c r="F55" s="31">
        <v>1.91</v>
      </c>
      <c r="G55" s="9">
        <v>4850</v>
      </c>
      <c r="H55" s="9">
        <v>0.7</v>
      </c>
      <c r="I55" s="9">
        <v>3395</v>
      </c>
    </row>
    <row r="56" spans="1:9" x14ac:dyDescent="0.25">
      <c r="A56" s="35" t="s">
        <v>126</v>
      </c>
      <c r="B56" s="28" t="s">
        <v>27</v>
      </c>
      <c r="C56" s="28" t="s">
        <v>32</v>
      </c>
      <c r="D56" s="36">
        <v>46027</v>
      </c>
      <c r="E56" s="37">
        <v>2600</v>
      </c>
      <c r="F56" s="31">
        <v>1.91</v>
      </c>
      <c r="G56" s="9">
        <v>5251</v>
      </c>
      <c r="H56" s="9">
        <v>0.7</v>
      </c>
      <c r="I56" s="9">
        <v>3675.7</v>
      </c>
    </row>
    <row r="57" spans="1:9" x14ac:dyDescent="0.25">
      <c r="A57" s="35" t="s">
        <v>127</v>
      </c>
      <c r="B57" s="28" t="s">
        <v>27</v>
      </c>
      <c r="C57" s="28" t="s">
        <v>32</v>
      </c>
      <c r="D57" s="36">
        <v>46048</v>
      </c>
      <c r="E57" s="37">
        <v>2600</v>
      </c>
      <c r="F57" s="31">
        <v>1.91</v>
      </c>
      <c r="G57" s="9">
        <v>4621</v>
      </c>
      <c r="H57" s="9">
        <v>0.7</v>
      </c>
      <c r="I57" s="9">
        <v>3234.7</v>
      </c>
    </row>
    <row r="58" spans="1:9" x14ac:dyDescent="0.25">
      <c r="A58" s="35" t="s">
        <v>128</v>
      </c>
      <c r="B58" s="28" t="s">
        <v>27</v>
      </c>
      <c r="C58" s="28" t="s">
        <v>32</v>
      </c>
      <c r="D58" s="36">
        <v>46079</v>
      </c>
      <c r="E58" s="37">
        <v>2600</v>
      </c>
      <c r="F58" s="31">
        <v>1.91</v>
      </c>
      <c r="G58" s="9">
        <v>4949</v>
      </c>
      <c r="H58" s="9">
        <v>0.75</v>
      </c>
      <c r="I58" s="9">
        <v>3711.75</v>
      </c>
    </row>
    <row r="59" spans="1:9" x14ac:dyDescent="0.25">
      <c r="A59" s="35" t="s">
        <v>129</v>
      </c>
      <c r="B59" s="28" t="s">
        <v>27</v>
      </c>
      <c r="C59" s="28" t="s">
        <v>32</v>
      </c>
      <c r="D59" s="36">
        <v>46060</v>
      </c>
      <c r="E59" s="37">
        <v>2600</v>
      </c>
      <c r="F59" s="31">
        <v>1.91</v>
      </c>
      <c r="G59" s="9">
        <v>5462</v>
      </c>
      <c r="H59" s="9">
        <v>0.75</v>
      </c>
      <c r="I59" s="9">
        <v>4096.5</v>
      </c>
    </row>
    <row r="60" spans="1:9" x14ac:dyDescent="0.25">
      <c r="A60" s="35" t="s">
        <v>130</v>
      </c>
      <c r="B60" s="28" t="s">
        <v>27</v>
      </c>
      <c r="C60" s="28" t="s">
        <v>32</v>
      </c>
      <c r="D60" s="36">
        <v>46059</v>
      </c>
      <c r="E60" s="37">
        <v>2600</v>
      </c>
      <c r="F60" s="31">
        <v>1.91</v>
      </c>
      <c r="G60" s="9">
        <v>5411</v>
      </c>
      <c r="H60" s="9">
        <v>0.75</v>
      </c>
      <c r="I60" s="9">
        <v>4058.25</v>
      </c>
    </row>
    <row r="61" spans="1:9" x14ac:dyDescent="0.25">
      <c r="A61" s="35" t="s">
        <v>131</v>
      </c>
      <c r="B61" s="28" t="s">
        <v>27</v>
      </c>
      <c r="C61" s="28" t="s">
        <v>32</v>
      </c>
      <c r="D61" s="36">
        <v>46075</v>
      </c>
      <c r="E61" s="37">
        <v>2600</v>
      </c>
      <c r="F61" s="31">
        <v>1.91</v>
      </c>
      <c r="G61" s="9">
        <v>4735</v>
      </c>
      <c r="H61" s="9">
        <v>0.75</v>
      </c>
      <c r="I61" s="9">
        <v>3551.25</v>
      </c>
    </row>
    <row r="62" spans="1:9" x14ac:dyDescent="0.25">
      <c r="A62" s="35" t="s">
        <v>132</v>
      </c>
      <c r="B62" s="28" t="s">
        <v>27</v>
      </c>
      <c r="C62" s="28" t="s">
        <v>32</v>
      </c>
      <c r="D62" s="36">
        <v>46063</v>
      </c>
      <c r="E62" s="37">
        <v>2600</v>
      </c>
      <c r="F62" s="31">
        <v>1.91</v>
      </c>
      <c r="G62" s="9">
        <v>4670</v>
      </c>
      <c r="H62" s="9">
        <v>0.75</v>
      </c>
      <c r="I62" s="9">
        <v>3502.5</v>
      </c>
    </row>
    <row r="63" spans="1:9" x14ac:dyDescent="0.25">
      <c r="A63" s="35" t="s">
        <v>133</v>
      </c>
      <c r="B63" s="28" t="s">
        <v>27</v>
      </c>
      <c r="C63" s="28" t="s">
        <v>32</v>
      </c>
      <c r="D63" s="36">
        <v>46070</v>
      </c>
      <c r="E63" s="37">
        <v>2600</v>
      </c>
      <c r="F63" s="31">
        <v>1.91</v>
      </c>
      <c r="G63" s="9">
        <v>5294</v>
      </c>
      <c r="H63" s="9">
        <v>0.75</v>
      </c>
      <c r="I63" s="9">
        <v>3970.5</v>
      </c>
    </row>
    <row r="64" spans="1:9" x14ac:dyDescent="0.25">
      <c r="A64" s="35" t="s">
        <v>134</v>
      </c>
      <c r="B64" s="28" t="s">
        <v>27</v>
      </c>
      <c r="C64" s="28" t="s">
        <v>32</v>
      </c>
      <c r="D64" s="36">
        <v>46076</v>
      </c>
      <c r="E64" s="37">
        <v>2600</v>
      </c>
      <c r="F64" s="31">
        <v>1.91</v>
      </c>
      <c r="G64" s="9">
        <v>4722</v>
      </c>
      <c r="H64" s="9">
        <v>0.75</v>
      </c>
      <c r="I64" s="9">
        <v>3541.5</v>
      </c>
    </row>
    <row r="65" spans="1:9" x14ac:dyDescent="0.25">
      <c r="A65" s="35" t="s">
        <v>135</v>
      </c>
      <c r="B65" s="28" t="s">
        <v>27</v>
      </c>
      <c r="C65" s="28" t="s">
        <v>32</v>
      </c>
      <c r="D65" s="36">
        <v>46072</v>
      </c>
      <c r="E65" s="37">
        <v>2600</v>
      </c>
      <c r="F65" s="31">
        <v>1.91</v>
      </c>
      <c r="G65" s="9">
        <v>4662</v>
      </c>
      <c r="H65" s="9">
        <v>0.75</v>
      </c>
      <c r="I65" s="9">
        <v>3496.5</v>
      </c>
    </row>
    <row r="66" spans="1:9" x14ac:dyDescent="0.25">
      <c r="A66" s="35" t="s">
        <v>136</v>
      </c>
      <c r="B66" s="28" t="s">
        <v>27</v>
      </c>
      <c r="C66" s="28" t="s">
        <v>32</v>
      </c>
      <c r="D66" s="36">
        <v>46101</v>
      </c>
      <c r="E66" s="37">
        <v>2600</v>
      </c>
      <c r="F66" s="31">
        <v>1.91</v>
      </c>
      <c r="G66" s="9">
        <v>4772</v>
      </c>
      <c r="H66" s="9">
        <v>0.8</v>
      </c>
      <c r="I66" s="9">
        <v>3817.6000000000004</v>
      </c>
    </row>
    <row r="67" spans="1:9" x14ac:dyDescent="0.25">
      <c r="A67" s="35" t="s">
        <v>137</v>
      </c>
      <c r="B67" s="28" t="s">
        <v>27</v>
      </c>
      <c r="C67" s="28" t="s">
        <v>32</v>
      </c>
      <c r="D67" s="36">
        <v>46085</v>
      </c>
      <c r="E67" s="37">
        <v>2600</v>
      </c>
      <c r="F67" s="31">
        <v>1.91</v>
      </c>
      <c r="G67" s="9">
        <v>4996</v>
      </c>
      <c r="H67" s="9">
        <v>0.8</v>
      </c>
      <c r="I67" s="9">
        <v>3996.8</v>
      </c>
    </row>
    <row r="68" spans="1:9" x14ac:dyDescent="0.25">
      <c r="A68" s="35" t="s">
        <v>138</v>
      </c>
      <c r="B68" s="28" t="s">
        <v>27</v>
      </c>
      <c r="C68" s="28" t="s">
        <v>32</v>
      </c>
      <c r="D68" s="36">
        <v>46086</v>
      </c>
      <c r="E68" s="37">
        <v>2600</v>
      </c>
      <c r="F68" s="31">
        <v>1.91</v>
      </c>
      <c r="G68" s="9">
        <v>4913</v>
      </c>
      <c r="H68" s="9">
        <v>0.8</v>
      </c>
      <c r="I68" s="9">
        <v>3930.4</v>
      </c>
    </row>
    <row r="69" spans="1:9" x14ac:dyDescent="0.25">
      <c r="A69" s="35" t="s">
        <v>139</v>
      </c>
      <c r="B69" s="28" t="s">
        <v>27</v>
      </c>
      <c r="C69" s="28" t="s">
        <v>32</v>
      </c>
      <c r="D69" s="36">
        <v>46092</v>
      </c>
      <c r="E69" s="37">
        <v>2600</v>
      </c>
      <c r="F69" s="31">
        <v>1.91</v>
      </c>
      <c r="G69" s="9">
        <v>4956</v>
      </c>
      <c r="H69" s="9">
        <v>0.8</v>
      </c>
      <c r="I69" s="9">
        <v>3964.8</v>
      </c>
    </row>
    <row r="70" spans="1:9" x14ac:dyDescent="0.25">
      <c r="A70" s="35" t="s">
        <v>140</v>
      </c>
      <c r="B70" s="28" t="s">
        <v>27</v>
      </c>
      <c r="C70" s="28" t="s">
        <v>32</v>
      </c>
      <c r="D70" s="36">
        <v>46085</v>
      </c>
      <c r="E70" s="37">
        <v>2600</v>
      </c>
      <c r="F70" s="31">
        <v>1.91</v>
      </c>
      <c r="G70" s="9">
        <v>5410</v>
      </c>
      <c r="H70" s="9">
        <v>0.8</v>
      </c>
      <c r="I70" s="9">
        <v>4328</v>
      </c>
    </row>
    <row r="71" spans="1:9" x14ac:dyDescent="0.25">
      <c r="A71" s="35" t="s">
        <v>141</v>
      </c>
      <c r="B71" s="28" t="s">
        <v>27</v>
      </c>
      <c r="C71" s="28" t="s">
        <v>32</v>
      </c>
      <c r="D71" s="36">
        <v>46094</v>
      </c>
      <c r="E71" s="37">
        <v>2600</v>
      </c>
      <c r="F71" s="31">
        <v>1.91</v>
      </c>
      <c r="G71" s="9">
        <v>4939</v>
      </c>
      <c r="H71" s="9">
        <v>0.8</v>
      </c>
      <c r="I71" s="9">
        <v>3951.2000000000003</v>
      </c>
    </row>
    <row r="72" spans="1:9" x14ac:dyDescent="0.25">
      <c r="A72" s="35" t="s">
        <v>142</v>
      </c>
      <c r="B72" s="28" t="s">
        <v>27</v>
      </c>
      <c r="C72" s="28" t="s">
        <v>32</v>
      </c>
      <c r="D72" s="36">
        <v>46107</v>
      </c>
      <c r="E72" s="37">
        <v>2600</v>
      </c>
      <c r="F72" s="31">
        <v>1.91</v>
      </c>
      <c r="G72" s="9">
        <v>4984</v>
      </c>
      <c r="H72" s="9">
        <v>0.8</v>
      </c>
      <c r="I72" s="9">
        <v>3987.2000000000003</v>
      </c>
    </row>
    <row r="73" spans="1:9" x14ac:dyDescent="0.25">
      <c r="A73" s="35" t="s">
        <v>143</v>
      </c>
      <c r="B73" s="28" t="s">
        <v>27</v>
      </c>
      <c r="C73" s="28" t="s">
        <v>32</v>
      </c>
      <c r="D73" s="36">
        <v>46082</v>
      </c>
      <c r="E73" s="37">
        <v>2600</v>
      </c>
      <c r="F73" s="31">
        <v>1.91</v>
      </c>
      <c r="G73" s="9">
        <v>4944</v>
      </c>
      <c r="H73" s="9">
        <v>0.8</v>
      </c>
      <c r="I73" s="9">
        <v>3955.2000000000003</v>
      </c>
    </row>
    <row r="74" spans="1:9" x14ac:dyDescent="0.25">
      <c r="A74" s="35" t="s">
        <v>144</v>
      </c>
      <c r="B74" s="28" t="s">
        <v>27</v>
      </c>
      <c r="C74" s="28" t="s">
        <v>32</v>
      </c>
      <c r="D74" s="36">
        <v>46118</v>
      </c>
      <c r="E74" s="37">
        <v>2600</v>
      </c>
      <c r="F74" s="31">
        <v>1.91</v>
      </c>
      <c r="G74" s="9">
        <v>5361</v>
      </c>
      <c r="H74" s="9">
        <v>0.85</v>
      </c>
      <c r="I74" s="9">
        <v>4556.8499999999995</v>
      </c>
    </row>
    <row r="75" spans="1:9" x14ac:dyDescent="0.25">
      <c r="A75" s="35" t="s">
        <v>145</v>
      </c>
      <c r="B75" s="28" t="s">
        <v>27</v>
      </c>
      <c r="C75" s="28" t="s">
        <v>32</v>
      </c>
      <c r="D75" s="36">
        <v>46123</v>
      </c>
      <c r="E75" s="37">
        <v>2600</v>
      </c>
      <c r="F75" s="31">
        <v>1.91</v>
      </c>
      <c r="G75" s="9">
        <v>5079</v>
      </c>
      <c r="H75" s="9">
        <v>0.85</v>
      </c>
      <c r="I75" s="9">
        <v>4317.1499999999996</v>
      </c>
    </row>
    <row r="76" spans="1:9" x14ac:dyDescent="0.25">
      <c r="A76" s="35" t="s">
        <v>146</v>
      </c>
      <c r="B76" s="28" t="s">
        <v>27</v>
      </c>
      <c r="C76" s="28" t="s">
        <v>32</v>
      </c>
      <c r="D76" s="36">
        <v>46117</v>
      </c>
      <c r="E76" s="37">
        <v>2600</v>
      </c>
      <c r="F76" s="31">
        <v>1.91</v>
      </c>
      <c r="G76" s="9">
        <v>5246</v>
      </c>
      <c r="H76" s="9">
        <v>0.85</v>
      </c>
      <c r="I76" s="9">
        <v>4459.0999999999995</v>
      </c>
    </row>
    <row r="77" spans="1:9" x14ac:dyDescent="0.25">
      <c r="A77" s="35" t="s">
        <v>147</v>
      </c>
      <c r="B77" s="28" t="s">
        <v>27</v>
      </c>
      <c r="C77" s="28" t="s">
        <v>32</v>
      </c>
      <c r="D77" s="36">
        <v>46128</v>
      </c>
      <c r="E77" s="37">
        <v>2600</v>
      </c>
      <c r="F77" s="31">
        <v>1.91</v>
      </c>
      <c r="G77" s="9">
        <v>4924</v>
      </c>
      <c r="H77" s="9">
        <v>0.85</v>
      </c>
      <c r="I77" s="9">
        <v>4185.3999999999996</v>
      </c>
    </row>
    <row r="78" spans="1:9" x14ac:dyDescent="0.25">
      <c r="A78" s="35" t="s">
        <v>148</v>
      </c>
      <c r="B78" s="28" t="s">
        <v>27</v>
      </c>
      <c r="C78" s="28" t="s">
        <v>32</v>
      </c>
      <c r="D78" s="36">
        <v>46138</v>
      </c>
      <c r="E78" s="37">
        <v>2600</v>
      </c>
      <c r="F78" s="31">
        <v>1.91</v>
      </c>
      <c r="G78" s="9">
        <v>5258</v>
      </c>
      <c r="H78" s="9">
        <v>0.85</v>
      </c>
      <c r="I78" s="9">
        <v>4469.3</v>
      </c>
    </row>
    <row r="79" spans="1:9" x14ac:dyDescent="0.25">
      <c r="A79" s="35" t="s">
        <v>149</v>
      </c>
      <c r="B79" s="28" t="s">
        <v>27</v>
      </c>
      <c r="C79" s="28" t="s">
        <v>32</v>
      </c>
      <c r="D79" s="36">
        <v>46123</v>
      </c>
      <c r="E79" s="37">
        <v>2600</v>
      </c>
      <c r="F79" s="31">
        <v>1.91</v>
      </c>
      <c r="G79" s="9">
        <v>4480</v>
      </c>
      <c r="H79" s="9">
        <v>0.85</v>
      </c>
      <c r="I79" s="9">
        <v>3808</v>
      </c>
    </row>
    <row r="80" spans="1:9" x14ac:dyDescent="0.25">
      <c r="A80" s="35" t="s">
        <v>150</v>
      </c>
      <c r="B80" s="28" t="s">
        <v>27</v>
      </c>
      <c r="C80" s="28" t="s">
        <v>32</v>
      </c>
      <c r="D80" s="36">
        <v>46114</v>
      </c>
      <c r="E80" s="37">
        <v>2600</v>
      </c>
      <c r="F80" s="31">
        <v>1.91</v>
      </c>
      <c r="G80" s="9">
        <v>5057</v>
      </c>
      <c r="H80" s="9">
        <v>0.85</v>
      </c>
      <c r="I80" s="9">
        <v>4298.45</v>
      </c>
    </row>
    <row r="81" spans="1:9" x14ac:dyDescent="0.25">
      <c r="A81" s="35" t="s">
        <v>151</v>
      </c>
      <c r="B81" s="28" t="s">
        <v>27</v>
      </c>
      <c r="C81" s="28" t="s">
        <v>32</v>
      </c>
      <c r="D81" s="36">
        <v>46133</v>
      </c>
      <c r="E81" s="37">
        <v>2600</v>
      </c>
      <c r="F81" s="31">
        <v>1.91</v>
      </c>
      <c r="G81" s="9">
        <v>4860</v>
      </c>
      <c r="H81" s="9">
        <v>0.85</v>
      </c>
      <c r="I81" s="9">
        <v>4131</v>
      </c>
    </row>
    <row r="82" spans="1:9" x14ac:dyDescent="0.25">
      <c r="A82" s="35" t="s">
        <v>152</v>
      </c>
      <c r="B82" s="28" t="s">
        <v>27</v>
      </c>
      <c r="C82" s="28" t="s">
        <v>32</v>
      </c>
      <c r="D82" s="36">
        <v>46158</v>
      </c>
      <c r="E82" s="37">
        <v>2600</v>
      </c>
      <c r="F82" s="31">
        <v>1.91</v>
      </c>
      <c r="G82" s="9">
        <v>5353</v>
      </c>
      <c r="H82" s="9">
        <v>0.9</v>
      </c>
      <c r="I82" s="9">
        <v>4817.7</v>
      </c>
    </row>
    <row r="83" spans="1:9" x14ac:dyDescent="0.25">
      <c r="A83" s="35" t="s">
        <v>153</v>
      </c>
      <c r="B83" s="28" t="s">
        <v>27</v>
      </c>
      <c r="C83" s="28" t="s">
        <v>32</v>
      </c>
      <c r="D83" s="36">
        <v>46169</v>
      </c>
      <c r="E83" s="37">
        <v>2600</v>
      </c>
      <c r="F83" s="31">
        <v>1.91</v>
      </c>
      <c r="G83" s="9">
        <v>4480</v>
      </c>
      <c r="H83" s="9">
        <v>0.9</v>
      </c>
      <c r="I83" s="9">
        <v>4032</v>
      </c>
    </row>
    <row r="84" spans="1:9" x14ac:dyDescent="0.25">
      <c r="A84" s="35" t="s">
        <v>154</v>
      </c>
      <c r="B84" s="28" t="s">
        <v>27</v>
      </c>
      <c r="C84" s="28" t="s">
        <v>32</v>
      </c>
      <c r="D84" s="36">
        <v>46152</v>
      </c>
      <c r="E84" s="37">
        <v>2600</v>
      </c>
      <c r="F84" s="31">
        <v>1.91</v>
      </c>
      <c r="G84" s="9">
        <v>5276</v>
      </c>
      <c r="H84" s="9">
        <v>0.9</v>
      </c>
      <c r="I84" s="9">
        <v>4748.4000000000005</v>
      </c>
    </row>
    <row r="85" spans="1:9" x14ac:dyDescent="0.25">
      <c r="A85" s="35" t="s">
        <v>155</v>
      </c>
      <c r="B85" s="28" t="s">
        <v>27</v>
      </c>
      <c r="C85" s="28" t="s">
        <v>32</v>
      </c>
      <c r="D85" s="36">
        <v>46162</v>
      </c>
      <c r="E85" s="37">
        <v>2600</v>
      </c>
      <c r="F85" s="31">
        <v>1.91</v>
      </c>
      <c r="G85" s="9">
        <v>4676</v>
      </c>
      <c r="H85" s="9">
        <v>0.9</v>
      </c>
      <c r="I85" s="9">
        <v>4208.4000000000005</v>
      </c>
    </row>
    <row r="86" spans="1:9" x14ac:dyDescent="0.25">
      <c r="A86" s="35" t="s">
        <v>156</v>
      </c>
      <c r="B86" s="28" t="s">
        <v>27</v>
      </c>
      <c r="C86" s="28" t="s">
        <v>32</v>
      </c>
      <c r="D86" s="36">
        <v>46145</v>
      </c>
      <c r="E86" s="37">
        <v>2600</v>
      </c>
      <c r="F86" s="31">
        <v>1.91</v>
      </c>
      <c r="G86" s="9">
        <v>4853</v>
      </c>
      <c r="H86" s="9">
        <v>0.9</v>
      </c>
      <c r="I86" s="9">
        <v>4367.7</v>
      </c>
    </row>
    <row r="87" spans="1:9" x14ac:dyDescent="0.25">
      <c r="A87" s="35" t="s">
        <v>157</v>
      </c>
      <c r="B87" s="28" t="s">
        <v>27</v>
      </c>
      <c r="C87" s="28" t="s">
        <v>32</v>
      </c>
      <c r="D87" s="36">
        <v>46164</v>
      </c>
      <c r="E87" s="37">
        <v>2600</v>
      </c>
      <c r="F87" s="31">
        <v>1.91</v>
      </c>
      <c r="G87" s="9">
        <v>5271</v>
      </c>
      <c r="H87" s="9">
        <v>0.9</v>
      </c>
      <c r="I87" s="9">
        <v>4743.9000000000005</v>
      </c>
    </row>
    <row r="88" spans="1:9" x14ac:dyDescent="0.25">
      <c r="A88" s="35" t="s">
        <v>158</v>
      </c>
      <c r="B88" s="28" t="s">
        <v>27</v>
      </c>
      <c r="C88" s="28" t="s">
        <v>32</v>
      </c>
      <c r="D88" s="36">
        <v>46155</v>
      </c>
      <c r="E88" s="37">
        <v>2600</v>
      </c>
      <c r="F88" s="31">
        <v>1.91</v>
      </c>
      <c r="G88" s="9">
        <v>4805</v>
      </c>
      <c r="H88" s="9">
        <v>0.9</v>
      </c>
      <c r="I88" s="9">
        <v>4324.5</v>
      </c>
    </row>
    <row r="89" spans="1:9" x14ac:dyDescent="0.25">
      <c r="A89" s="35" t="s">
        <v>159</v>
      </c>
      <c r="B89" s="28" t="s">
        <v>27</v>
      </c>
      <c r="C89" s="28" t="s">
        <v>32</v>
      </c>
      <c r="D89" s="36">
        <v>46158</v>
      </c>
      <c r="E89" s="37">
        <v>2600</v>
      </c>
      <c r="F89" s="31">
        <v>1.91</v>
      </c>
      <c r="G89" s="9">
        <v>5319</v>
      </c>
      <c r="H89" s="9">
        <v>0.9</v>
      </c>
      <c r="I89" s="9">
        <v>4787.1000000000004</v>
      </c>
    </row>
    <row r="90" spans="1:9" x14ac:dyDescent="0.25">
      <c r="A90" s="35" t="s">
        <v>160</v>
      </c>
      <c r="B90" s="28" t="s">
        <v>27</v>
      </c>
      <c r="C90" s="28" t="s">
        <v>32</v>
      </c>
      <c r="D90" s="36">
        <v>46177</v>
      </c>
      <c r="E90" s="37">
        <v>2600</v>
      </c>
      <c r="F90" s="31">
        <v>1.91</v>
      </c>
      <c r="G90" s="9">
        <v>4861</v>
      </c>
      <c r="H90" s="9">
        <v>0.89</v>
      </c>
      <c r="I90" s="9">
        <v>4326.29</v>
      </c>
    </row>
    <row r="91" spans="1:9" x14ac:dyDescent="0.25">
      <c r="A91" s="35" t="s">
        <v>161</v>
      </c>
      <c r="B91" s="28" t="s">
        <v>27</v>
      </c>
      <c r="C91" s="28" t="s">
        <v>32</v>
      </c>
      <c r="D91" s="36">
        <v>46175</v>
      </c>
      <c r="E91" s="37">
        <v>2600</v>
      </c>
      <c r="F91" s="31">
        <v>1.91</v>
      </c>
      <c r="G91" s="9">
        <v>5437</v>
      </c>
      <c r="H91" s="9">
        <v>0.89</v>
      </c>
      <c r="I91" s="9">
        <v>4838.93</v>
      </c>
    </row>
    <row r="92" spans="1:9" x14ac:dyDescent="0.25">
      <c r="A92" s="35" t="s">
        <v>162</v>
      </c>
      <c r="B92" s="28" t="s">
        <v>27</v>
      </c>
      <c r="C92" s="28" t="s">
        <v>32</v>
      </c>
      <c r="D92" s="36">
        <v>46176</v>
      </c>
      <c r="E92" s="37">
        <v>2600</v>
      </c>
      <c r="F92" s="31">
        <v>1.91</v>
      </c>
      <c r="G92" s="9">
        <v>4949</v>
      </c>
      <c r="H92" s="9">
        <v>0.89</v>
      </c>
      <c r="I92" s="9">
        <v>4404.6099999999997</v>
      </c>
    </row>
    <row r="93" spans="1:9" x14ac:dyDescent="0.25">
      <c r="A93" s="35" t="s">
        <v>163</v>
      </c>
      <c r="B93" s="28" t="s">
        <v>27</v>
      </c>
      <c r="C93" s="28" t="s">
        <v>32</v>
      </c>
      <c r="D93" s="36">
        <v>46183</v>
      </c>
      <c r="E93" s="37">
        <v>2600</v>
      </c>
      <c r="F93" s="31">
        <v>1.91</v>
      </c>
      <c r="G93" s="9">
        <v>4891</v>
      </c>
      <c r="H93" s="9">
        <v>0.89</v>
      </c>
      <c r="I93" s="9">
        <v>4352.99</v>
      </c>
    </row>
    <row r="94" spans="1:9" x14ac:dyDescent="0.25">
      <c r="A94" s="35" t="s">
        <v>164</v>
      </c>
      <c r="B94" s="28" t="s">
        <v>27</v>
      </c>
      <c r="C94" s="28" t="s">
        <v>32</v>
      </c>
      <c r="D94" s="36">
        <v>46179</v>
      </c>
      <c r="E94" s="37">
        <v>2600</v>
      </c>
      <c r="F94" s="31">
        <v>1.91</v>
      </c>
      <c r="G94" s="9">
        <v>4607</v>
      </c>
      <c r="H94" s="9">
        <v>0.89</v>
      </c>
      <c r="I94" s="9">
        <v>4100.2300000000005</v>
      </c>
    </row>
    <row r="95" spans="1:9" x14ac:dyDescent="0.25">
      <c r="A95" s="35" t="s">
        <v>165</v>
      </c>
      <c r="B95" s="28" t="s">
        <v>27</v>
      </c>
      <c r="C95" s="28" t="s">
        <v>32</v>
      </c>
      <c r="D95" s="36">
        <v>46175</v>
      </c>
      <c r="E95" s="37">
        <v>2600</v>
      </c>
      <c r="F95" s="31">
        <v>1.91</v>
      </c>
      <c r="G95" s="9">
        <v>4979</v>
      </c>
      <c r="H95" s="9">
        <v>0.89</v>
      </c>
      <c r="I95" s="9">
        <v>4431.3100000000004</v>
      </c>
    </row>
    <row r="96" spans="1:9" x14ac:dyDescent="0.25">
      <c r="A96" s="35" t="s">
        <v>166</v>
      </c>
      <c r="B96" s="28" t="s">
        <v>27</v>
      </c>
      <c r="C96" s="28" t="s">
        <v>32</v>
      </c>
      <c r="D96" s="36">
        <v>46183</v>
      </c>
      <c r="E96" s="37">
        <v>2600</v>
      </c>
      <c r="F96" s="31">
        <v>1.91</v>
      </c>
      <c r="G96" s="9">
        <v>4616</v>
      </c>
      <c r="H96" s="9">
        <v>0.89</v>
      </c>
      <c r="I96" s="9">
        <v>4108.24</v>
      </c>
    </row>
    <row r="97" spans="1:12" x14ac:dyDescent="0.25">
      <c r="A97" s="35" t="s">
        <v>167</v>
      </c>
      <c r="B97" s="28" t="s">
        <v>27</v>
      </c>
      <c r="C97" s="28" t="s">
        <v>32</v>
      </c>
      <c r="D97" s="36">
        <v>46183</v>
      </c>
      <c r="E97" s="37">
        <v>2600</v>
      </c>
      <c r="F97" s="31">
        <v>1.91</v>
      </c>
      <c r="G97" s="9">
        <v>5409</v>
      </c>
      <c r="H97" s="9">
        <v>0.89</v>
      </c>
      <c r="I97" s="9">
        <v>4814.01</v>
      </c>
    </row>
    <row r="98" spans="1:12" x14ac:dyDescent="0.25">
      <c r="A98" s="35" t="s">
        <v>168</v>
      </c>
      <c r="B98" s="28" t="s">
        <v>26</v>
      </c>
      <c r="C98" s="28" t="s">
        <v>34</v>
      </c>
      <c r="D98" s="36">
        <v>46023</v>
      </c>
      <c r="E98" s="37">
        <v>2500</v>
      </c>
      <c r="F98" s="33">
        <v>3.5</v>
      </c>
      <c r="G98" s="9">
        <v>9227</v>
      </c>
      <c r="H98" s="9">
        <v>0.7</v>
      </c>
      <c r="I98" s="9">
        <v>6458.9</v>
      </c>
    </row>
    <row r="99" spans="1:12" x14ac:dyDescent="0.25">
      <c r="A99" s="35" t="s">
        <v>169</v>
      </c>
      <c r="B99" s="28" t="s">
        <v>26</v>
      </c>
      <c r="C99" s="28" t="s">
        <v>34</v>
      </c>
      <c r="D99" s="36">
        <v>46033</v>
      </c>
      <c r="E99" s="37">
        <v>2500</v>
      </c>
      <c r="F99" s="33">
        <v>3.5</v>
      </c>
      <c r="G99" s="9">
        <v>8714</v>
      </c>
      <c r="H99" s="9">
        <v>0.7</v>
      </c>
      <c r="I99" s="9">
        <v>6099.7999999999993</v>
      </c>
    </row>
    <row r="100" spans="1:12" x14ac:dyDescent="0.25">
      <c r="A100" s="35" t="s">
        <v>170</v>
      </c>
      <c r="B100" s="28" t="s">
        <v>26</v>
      </c>
      <c r="C100" s="28" t="s">
        <v>34</v>
      </c>
      <c r="D100" s="36">
        <v>46043</v>
      </c>
      <c r="E100" s="37">
        <v>2500</v>
      </c>
      <c r="F100" s="33">
        <v>3.5</v>
      </c>
      <c r="G100" s="9">
        <v>9381</v>
      </c>
      <c r="H100" s="9">
        <v>0.7</v>
      </c>
      <c r="I100" s="9">
        <v>6566.7</v>
      </c>
    </row>
    <row r="101" spans="1:12" x14ac:dyDescent="0.25">
      <c r="A101" s="35" t="s">
        <v>171</v>
      </c>
      <c r="B101" s="28" t="s">
        <v>26</v>
      </c>
      <c r="C101" s="28" t="s">
        <v>34</v>
      </c>
      <c r="D101" s="36">
        <v>46039</v>
      </c>
      <c r="E101" s="37">
        <v>2500</v>
      </c>
      <c r="F101" s="33">
        <v>3.5</v>
      </c>
      <c r="G101" s="9">
        <v>8772</v>
      </c>
      <c r="H101" s="9">
        <v>0.7</v>
      </c>
      <c r="I101" s="9">
        <v>6140.4</v>
      </c>
    </row>
    <row r="102" spans="1:12" x14ac:dyDescent="0.25">
      <c r="A102" s="35" t="s">
        <v>172</v>
      </c>
      <c r="B102" s="28" t="s">
        <v>26</v>
      </c>
      <c r="C102" s="28" t="s">
        <v>34</v>
      </c>
      <c r="D102" s="36">
        <v>46048</v>
      </c>
      <c r="E102" s="37">
        <v>2500</v>
      </c>
      <c r="F102" s="33">
        <v>3.5</v>
      </c>
      <c r="G102" s="9">
        <v>8737</v>
      </c>
      <c r="H102" s="9">
        <v>0.7</v>
      </c>
      <c r="I102" s="9">
        <v>6115.9</v>
      </c>
    </row>
    <row r="103" spans="1:12" x14ac:dyDescent="0.25">
      <c r="A103" s="35" t="s">
        <v>173</v>
      </c>
      <c r="B103" s="28" t="s">
        <v>26</v>
      </c>
      <c r="C103" s="28" t="s">
        <v>34</v>
      </c>
      <c r="D103" s="36">
        <v>46029</v>
      </c>
      <c r="E103" s="37">
        <v>2500</v>
      </c>
      <c r="F103" s="33">
        <v>3.5</v>
      </c>
      <c r="G103" s="9">
        <v>8914</v>
      </c>
      <c r="H103" s="9">
        <v>0.7</v>
      </c>
      <c r="I103" s="9">
        <v>6239.7999999999993</v>
      </c>
    </row>
    <row r="104" spans="1:12" x14ac:dyDescent="0.25">
      <c r="A104" s="35" t="s">
        <v>174</v>
      </c>
      <c r="B104" s="28" t="s">
        <v>26</v>
      </c>
      <c r="C104" s="28" t="s">
        <v>34</v>
      </c>
      <c r="D104" s="36">
        <v>46047</v>
      </c>
      <c r="E104" s="37">
        <v>2500</v>
      </c>
      <c r="F104" s="33">
        <v>3.5</v>
      </c>
      <c r="G104" s="9">
        <v>8026</v>
      </c>
      <c r="H104" s="9">
        <v>0.7</v>
      </c>
      <c r="I104" s="9">
        <v>5618.2</v>
      </c>
    </row>
    <row r="105" spans="1:12" x14ac:dyDescent="0.25">
      <c r="A105" s="35" t="s">
        <v>175</v>
      </c>
      <c r="B105" s="28" t="s">
        <v>26</v>
      </c>
      <c r="C105" s="28" t="s">
        <v>34</v>
      </c>
      <c r="D105" s="36">
        <v>46048</v>
      </c>
      <c r="E105" s="37">
        <v>2500</v>
      </c>
      <c r="F105" s="33">
        <v>3.5</v>
      </c>
      <c r="G105" s="9">
        <v>9437</v>
      </c>
      <c r="H105" s="9">
        <v>0.7</v>
      </c>
      <c r="I105" s="9">
        <v>6605.9</v>
      </c>
    </row>
    <row r="106" spans="1:12" x14ac:dyDescent="0.25">
      <c r="A106" s="35" t="s">
        <v>176</v>
      </c>
      <c r="B106" s="28" t="s">
        <v>26</v>
      </c>
      <c r="C106" s="28" t="s">
        <v>34</v>
      </c>
      <c r="D106" s="36">
        <v>46060</v>
      </c>
      <c r="E106" s="37">
        <v>2500</v>
      </c>
      <c r="F106" s="33">
        <v>3.5</v>
      </c>
      <c r="G106" s="9">
        <v>8165</v>
      </c>
      <c r="H106" s="9">
        <v>0.75</v>
      </c>
      <c r="I106" s="9">
        <v>6123.75</v>
      </c>
    </row>
    <row r="107" spans="1:12" x14ac:dyDescent="0.25">
      <c r="A107" s="35" t="s">
        <v>177</v>
      </c>
      <c r="B107" s="28" t="s">
        <v>26</v>
      </c>
      <c r="C107" s="28" t="s">
        <v>34</v>
      </c>
      <c r="D107" s="36">
        <v>46081</v>
      </c>
      <c r="E107" s="37">
        <v>2500</v>
      </c>
      <c r="F107" s="33">
        <v>3.5</v>
      </c>
      <c r="G107" s="9">
        <v>8057</v>
      </c>
      <c r="H107" s="9">
        <v>0.75</v>
      </c>
      <c r="I107" s="9">
        <v>6042.75</v>
      </c>
    </row>
    <row r="108" spans="1:12" x14ac:dyDescent="0.25">
      <c r="A108" s="35" t="s">
        <v>178</v>
      </c>
      <c r="B108" s="28" t="s">
        <v>26</v>
      </c>
      <c r="C108" s="28" t="s">
        <v>34</v>
      </c>
      <c r="D108" s="36">
        <v>46069</v>
      </c>
      <c r="E108" s="37">
        <v>2500</v>
      </c>
      <c r="F108" s="33">
        <v>3.5</v>
      </c>
      <c r="G108" s="9">
        <v>8577</v>
      </c>
      <c r="H108" s="9">
        <v>0.75</v>
      </c>
      <c r="I108" s="9">
        <v>6432.75</v>
      </c>
    </row>
    <row r="109" spans="1:12" x14ac:dyDescent="0.25">
      <c r="A109" s="35" t="s">
        <v>179</v>
      </c>
      <c r="B109" s="28" t="s">
        <v>26</v>
      </c>
      <c r="C109" s="28" t="s">
        <v>34</v>
      </c>
      <c r="D109" s="36">
        <v>46058</v>
      </c>
      <c r="E109" s="37">
        <v>2500</v>
      </c>
      <c r="F109" s="33">
        <v>3.5</v>
      </c>
      <c r="G109" s="9">
        <v>7986</v>
      </c>
      <c r="H109" s="9">
        <v>0.75</v>
      </c>
      <c r="I109" s="9">
        <v>5989.5</v>
      </c>
      <c r="L109">
        <v>48</v>
      </c>
    </row>
    <row r="110" spans="1:12" x14ac:dyDescent="0.25">
      <c r="A110" s="35" t="s">
        <v>180</v>
      </c>
      <c r="B110" s="28" t="s">
        <v>26</v>
      </c>
      <c r="C110" s="28" t="s">
        <v>34</v>
      </c>
      <c r="D110" s="36">
        <v>46055</v>
      </c>
      <c r="E110" s="37">
        <v>2500</v>
      </c>
      <c r="F110" s="33">
        <v>3.5</v>
      </c>
      <c r="G110" s="9">
        <v>8007</v>
      </c>
      <c r="H110" s="9">
        <v>0.75</v>
      </c>
      <c r="I110" s="9">
        <v>6005.25</v>
      </c>
    </row>
    <row r="111" spans="1:12" x14ac:dyDescent="0.25">
      <c r="A111" s="35" t="s">
        <v>181</v>
      </c>
      <c r="B111" s="28" t="s">
        <v>26</v>
      </c>
      <c r="C111" s="28" t="s">
        <v>34</v>
      </c>
      <c r="D111" s="36">
        <v>46078</v>
      </c>
      <c r="E111" s="37">
        <v>2500</v>
      </c>
      <c r="F111" s="33">
        <v>3.5</v>
      </c>
      <c r="G111" s="9">
        <v>8946</v>
      </c>
      <c r="H111" s="9">
        <v>0.75</v>
      </c>
      <c r="I111" s="9">
        <v>6709.5</v>
      </c>
    </row>
    <row r="112" spans="1:12" x14ac:dyDescent="0.25">
      <c r="A112" s="35" t="s">
        <v>182</v>
      </c>
      <c r="B112" s="28" t="s">
        <v>26</v>
      </c>
      <c r="C112" s="28" t="s">
        <v>34</v>
      </c>
      <c r="D112" s="36">
        <v>46056</v>
      </c>
      <c r="E112" s="37">
        <v>2500</v>
      </c>
      <c r="F112" s="33">
        <v>3.5</v>
      </c>
      <c r="G112" s="9">
        <v>8531</v>
      </c>
      <c r="H112" s="9">
        <v>0.75</v>
      </c>
      <c r="I112" s="9">
        <v>6398.25</v>
      </c>
    </row>
    <row r="113" spans="1:9" x14ac:dyDescent="0.25">
      <c r="A113" s="35" t="s">
        <v>183</v>
      </c>
      <c r="B113" s="28" t="s">
        <v>26</v>
      </c>
      <c r="C113" s="28" t="s">
        <v>34</v>
      </c>
      <c r="D113" s="36">
        <v>46070</v>
      </c>
      <c r="E113" s="37">
        <v>2500</v>
      </c>
      <c r="F113" s="33">
        <v>3.5</v>
      </c>
      <c r="G113" s="9">
        <v>8344</v>
      </c>
      <c r="H113" s="9">
        <v>0.75</v>
      </c>
      <c r="I113" s="9">
        <v>6258</v>
      </c>
    </row>
    <row r="114" spans="1:9" x14ac:dyDescent="0.25">
      <c r="A114" s="35" t="s">
        <v>184</v>
      </c>
      <c r="B114" s="28" t="s">
        <v>26</v>
      </c>
      <c r="C114" s="28" t="s">
        <v>34</v>
      </c>
      <c r="D114" s="36">
        <v>46089</v>
      </c>
      <c r="E114" s="37">
        <v>2500</v>
      </c>
      <c r="F114" s="33">
        <v>3.5</v>
      </c>
      <c r="G114" s="9">
        <v>8371</v>
      </c>
      <c r="H114" s="9">
        <v>0.8</v>
      </c>
      <c r="I114" s="9">
        <v>6696.8</v>
      </c>
    </row>
    <row r="115" spans="1:9" x14ac:dyDescent="0.25">
      <c r="A115" s="35" t="s">
        <v>185</v>
      </c>
      <c r="B115" s="28" t="s">
        <v>26</v>
      </c>
      <c r="C115" s="28" t="s">
        <v>34</v>
      </c>
      <c r="D115" s="36">
        <v>46092</v>
      </c>
      <c r="E115" s="37">
        <v>2500</v>
      </c>
      <c r="F115" s="33">
        <v>3.5</v>
      </c>
      <c r="G115" s="9">
        <v>8170</v>
      </c>
      <c r="H115" s="9">
        <v>0.8</v>
      </c>
      <c r="I115" s="9">
        <v>6536</v>
      </c>
    </row>
    <row r="116" spans="1:9" x14ac:dyDescent="0.25">
      <c r="A116" s="35" t="s">
        <v>186</v>
      </c>
      <c r="B116" s="28" t="s">
        <v>26</v>
      </c>
      <c r="C116" s="28" t="s">
        <v>34</v>
      </c>
      <c r="D116" s="36">
        <v>46088</v>
      </c>
      <c r="E116" s="37">
        <v>2500</v>
      </c>
      <c r="F116" s="33">
        <v>3.5</v>
      </c>
      <c r="G116" s="9">
        <v>9347</v>
      </c>
      <c r="H116" s="9">
        <v>0.8</v>
      </c>
      <c r="I116" s="9">
        <v>7477.6</v>
      </c>
    </row>
    <row r="117" spans="1:9" x14ac:dyDescent="0.25">
      <c r="A117" s="35" t="s">
        <v>187</v>
      </c>
      <c r="B117" s="28" t="s">
        <v>26</v>
      </c>
      <c r="C117" s="28" t="s">
        <v>34</v>
      </c>
      <c r="D117" s="36">
        <v>46102</v>
      </c>
      <c r="E117" s="37">
        <v>2500</v>
      </c>
      <c r="F117" s="33">
        <v>3.5</v>
      </c>
      <c r="G117" s="9">
        <v>9613</v>
      </c>
      <c r="H117" s="9">
        <v>0.8</v>
      </c>
      <c r="I117" s="9">
        <v>7690.4000000000005</v>
      </c>
    </row>
    <row r="118" spans="1:9" x14ac:dyDescent="0.25">
      <c r="A118" s="35" t="s">
        <v>188</v>
      </c>
      <c r="B118" s="28" t="s">
        <v>26</v>
      </c>
      <c r="C118" s="28" t="s">
        <v>34</v>
      </c>
      <c r="D118" s="36">
        <v>46096</v>
      </c>
      <c r="E118" s="37">
        <v>2500</v>
      </c>
      <c r="F118" s="33">
        <v>3.5</v>
      </c>
      <c r="G118" s="9">
        <v>8548</v>
      </c>
      <c r="H118" s="9">
        <v>0.8</v>
      </c>
      <c r="I118" s="9">
        <v>6838.4000000000005</v>
      </c>
    </row>
    <row r="119" spans="1:9" x14ac:dyDescent="0.25">
      <c r="A119" s="35" t="s">
        <v>189</v>
      </c>
      <c r="B119" s="28" t="s">
        <v>26</v>
      </c>
      <c r="C119" s="28" t="s">
        <v>34</v>
      </c>
      <c r="D119" s="36">
        <v>46097</v>
      </c>
      <c r="E119" s="37">
        <v>2500</v>
      </c>
      <c r="F119" s="33">
        <v>3.5</v>
      </c>
      <c r="G119" s="9">
        <v>7982</v>
      </c>
      <c r="H119" s="9">
        <v>0.8</v>
      </c>
      <c r="I119" s="9">
        <v>6385.6</v>
      </c>
    </row>
    <row r="120" spans="1:9" x14ac:dyDescent="0.25">
      <c r="A120" s="35" t="s">
        <v>190</v>
      </c>
      <c r="B120" s="28" t="s">
        <v>26</v>
      </c>
      <c r="C120" s="28" t="s">
        <v>34</v>
      </c>
      <c r="D120" s="36">
        <v>46108</v>
      </c>
      <c r="E120" s="37">
        <v>2500</v>
      </c>
      <c r="F120" s="33">
        <v>3.5</v>
      </c>
      <c r="G120" s="9">
        <v>8014</v>
      </c>
      <c r="H120" s="9">
        <v>0.8</v>
      </c>
      <c r="I120" s="9">
        <v>6411.2000000000007</v>
      </c>
    </row>
    <row r="121" spans="1:9" x14ac:dyDescent="0.25">
      <c r="A121" s="35" t="s">
        <v>191</v>
      </c>
      <c r="B121" s="28" t="s">
        <v>26</v>
      </c>
      <c r="C121" s="28" t="s">
        <v>34</v>
      </c>
      <c r="D121" s="36">
        <v>46095</v>
      </c>
      <c r="E121" s="37">
        <v>2500</v>
      </c>
      <c r="F121" s="33">
        <v>3.5</v>
      </c>
      <c r="G121" s="9">
        <v>8200</v>
      </c>
      <c r="H121" s="9">
        <v>0.8</v>
      </c>
      <c r="I121" s="9">
        <v>6560</v>
      </c>
    </row>
    <row r="122" spans="1:9" x14ac:dyDescent="0.25">
      <c r="A122" s="35" t="s">
        <v>192</v>
      </c>
      <c r="B122" s="28" t="s">
        <v>26</v>
      </c>
      <c r="C122" s="28" t="s">
        <v>34</v>
      </c>
      <c r="D122" s="36">
        <v>46128</v>
      </c>
      <c r="E122" s="37">
        <v>2500</v>
      </c>
      <c r="F122" s="33">
        <v>3.5</v>
      </c>
      <c r="G122" s="9">
        <v>7913</v>
      </c>
      <c r="H122" s="9">
        <v>0.85</v>
      </c>
      <c r="I122" s="9">
        <v>6726.05</v>
      </c>
    </row>
    <row r="123" spans="1:9" x14ac:dyDescent="0.25">
      <c r="A123" s="35" t="s">
        <v>193</v>
      </c>
      <c r="B123" s="28" t="s">
        <v>26</v>
      </c>
      <c r="C123" s="28" t="s">
        <v>34</v>
      </c>
      <c r="D123" s="36">
        <v>46130</v>
      </c>
      <c r="E123" s="37">
        <v>2500</v>
      </c>
      <c r="F123" s="33">
        <v>3.5</v>
      </c>
      <c r="G123" s="9">
        <v>9057</v>
      </c>
      <c r="H123" s="9">
        <v>0.85</v>
      </c>
      <c r="I123" s="9">
        <v>7698.45</v>
      </c>
    </row>
    <row r="124" spans="1:9" x14ac:dyDescent="0.25">
      <c r="A124" s="35" t="s">
        <v>194</v>
      </c>
      <c r="B124" s="28" t="s">
        <v>26</v>
      </c>
      <c r="C124" s="28" t="s">
        <v>34</v>
      </c>
      <c r="D124" s="36">
        <v>46119</v>
      </c>
      <c r="E124" s="37">
        <v>2500</v>
      </c>
      <c r="F124" s="33">
        <v>3.5</v>
      </c>
      <c r="G124" s="9">
        <v>9231</v>
      </c>
      <c r="H124" s="9">
        <v>0.85</v>
      </c>
      <c r="I124" s="9">
        <v>7846.3499999999995</v>
      </c>
    </row>
    <row r="125" spans="1:9" x14ac:dyDescent="0.25">
      <c r="A125" s="35" t="s">
        <v>195</v>
      </c>
      <c r="B125" s="28" t="s">
        <v>26</v>
      </c>
      <c r="C125" s="28" t="s">
        <v>34</v>
      </c>
      <c r="D125" s="36">
        <v>46119</v>
      </c>
      <c r="E125" s="37">
        <v>2500</v>
      </c>
      <c r="F125" s="33">
        <v>3.5</v>
      </c>
      <c r="G125" s="9">
        <v>8930</v>
      </c>
      <c r="H125" s="9">
        <v>0.85</v>
      </c>
      <c r="I125" s="9">
        <v>7590.5</v>
      </c>
    </row>
    <row r="126" spans="1:9" x14ac:dyDescent="0.25">
      <c r="A126" s="35" t="s">
        <v>196</v>
      </c>
      <c r="B126" s="28" t="s">
        <v>26</v>
      </c>
      <c r="C126" s="28" t="s">
        <v>34</v>
      </c>
      <c r="D126" s="36">
        <v>46125</v>
      </c>
      <c r="E126" s="37">
        <v>2500</v>
      </c>
      <c r="F126" s="33">
        <v>3.5</v>
      </c>
      <c r="G126" s="9">
        <v>9265</v>
      </c>
      <c r="H126" s="9">
        <v>0.85</v>
      </c>
      <c r="I126" s="9">
        <v>7875.25</v>
      </c>
    </row>
    <row r="127" spans="1:9" x14ac:dyDescent="0.25">
      <c r="A127" s="35" t="s">
        <v>197</v>
      </c>
      <c r="B127" s="28" t="s">
        <v>26</v>
      </c>
      <c r="C127" s="28" t="s">
        <v>34</v>
      </c>
      <c r="D127" s="36">
        <v>46140</v>
      </c>
      <c r="E127" s="37">
        <v>2500</v>
      </c>
      <c r="F127" s="33">
        <v>3.5</v>
      </c>
      <c r="G127" s="9">
        <v>8766</v>
      </c>
      <c r="H127" s="9">
        <v>0.85</v>
      </c>
      <c r="I127" s="9">
        <v>7451.0999999999995</v>
      </c>
    </row>
    <row r="128" spans="1:9" x14ac:dyDescent="0.25">
      <c r="A128" s="35" t="s">
        <v>198</v>
      </c>
      <c r="B128" s="28" t="s">
        <v>26</v>
      </c>
      <c r="C128" s="28" t="s">
        <v>34</v>
      </c>
      <c r="D128" s="36">
        <v>46118</v>
      </c>
      <c r="E128" s="37">
        <v>2500</v>
      </c>
      <c r="F128" s="33">
        <v>3.5</v>
      </c>
      <c r="G128" s="9">
        <v>8940</v>
      </c>
      <c r="H128" s="9">
        <v>0.85</v>
      </c>
      <c r="I128" s="9">
        <v>7599</v>
      </c>
    </row>
    <row r="129" spans="1:9" x14ac:dyDescent="0.25">
      <c r="A129" s="35" t="s">
        <v>199</v>
      </c>
      <c r="B129" s="28" t="s">
        <v>26</v>
      </c>
      <c r="C129" s="28" t="s">
        <v>34</v>
      </c>
      <c r="D129" s="36">
        <v>46139</v>
      </c>
      <c r="E129" s="37">
        <v>2500</v>
      </c>
      <c r="F129" s="33">
        <v>3.5</v>
      </c>
      <c r="G129" s="9">
        <v>7890</v>
      </c>
      <c r="H129" s="9">
        <v>0.85</v>
      </c>
      <c r="I129" s="9">
        <v>6706.5</v>
      </c>
    </row>
    <row r="130" spans="1:9" x14ac:dyDescent="0.25">
      <c r="A130" s="35" t="s">
        <v>200</v>
      </c>
      <c r="B130" s="28" t="s">
        <v>26</v>
      </c>
      <c r="C130" s="28" t="s">
        <v>34</v>
      </c>
      <c r="D130" s="36">
        <v>46156</v>
      </c>
      <c r="E130" s="37">
        <v>2500</v>
      </c>
      <c r="F130" s="33">
        <v>3.5</v>
      </c>
      <c r="G130" s="9">
        <v>8484</v>
      </c>
      <c r="H130" s="9">
        <v>0.9</v>
      </c>
      <c r="I130" s="9">
        <v>7635.6</v>
      </c>
    </row>
    <row r="131" spans="1:9" x14ac:dyDescent="0.25">
      <c r="A131" s="35" t="s">
        <v>201</v>
      </c>
      <c r="B131" s="28" t="s">
        <v>26</v>
      </c>
      <c r="C131" s="28" t="s">
        <v>34</v>
      </c>
      <c r="D131" s="36">
        <v>46161</v>
      </c>
      <c r="E131" s="37">
        <v>2500</v>
      </c>
      <c r="F131" s="33">
        <v>3.5</v>
      </c>
      <c r="G131" s="9">
        <v>9425</v>
      </c>
      <c r="H131" s="9">
        <v>0.9</v>
      </c>
      <c r="I131" s="9">
        <v>8482.5</v>
      </c>
    </row>
    <row r="132" spans="1:9" x14ac:dyDescent="0.25">
      <c r="A132" s="35" t="s">
        <v>202</v>
      </c>
      <c r="B132" s="28" t="s">
        <v>26</v>
      </c>
      <c r="C132" s="28" t="s">
        <v>34</v>
      </c>
      <c r="D132" s="36">
        <v>46147</v>
      </c>
      <c r="E132" s="37">
        <v>2500</v>
      </c>
      <c r="F132" s="33">
        <v>3.5</v>
      </c>
      <c r="G132" s="9">
        <v>8101</v>
      </c>
      <c r="H132" s="9">
        <v>0.9</v>
      </c>
      <c r="I132" s="9">
        <v>7290.9000000000005</v>
      </c>
    </row>
    <row r="133" spans="1:9" x14ac:dyDescent="0.25">
      <c r="A133" s="35" t="s">
        <v>203</v>
      </c>
      <c r="B133" s="28" t="s">
        <v>26</v>
      </c>
      <c r="C133" s="28" t="s">
        <v>34</v>
      </c>
      <c r="D133" s="36">
        <v>46164</v>
      </c>
      <c r="E133" s="37">
        <v>2500</v>
      </c>
      <c r="F133" s="33">
        <v>3.5</v>
      </c>
      <c r="G133" s="9">
        <v>9611</v>
      </c>
      <c r="H133" s="9">
        <v>0.9</v>
      </c>
      <c r="I133" s="9">
        <v>8649.9</v>
      </c>
    </row>
    <row r="134" spans="1:9" x14ac:dyDescent="0.25">
      <c r="A134" s="35" t="s">
        <v>204</v>
      </c>
      <c r="B134" s="28" t="s">
        <v>26</v>
      </c>
      <c r="C134" s="28" t="s">
        <v>34</v>
      </c>
      <c r="D134" s="36">
        <v>46151</v>
      </c>
      <c r="E134" s="37">
        <v>2500</v>
      </c>
      <c r="F134" s="33">
        <v>3.5</v>
      </c>
      <c r="G134" s="9">
        <v>8911</v>
      </c>
      <c r="H134" s="9">
        <v>0.9</v>
      </c>
      <c r="I134" s="9">
        <v>8019.9000000000005</v>
      </c>
    </row>
    <row r="135" spans="1:9" x14ac:dyDescent="0.25">
      <c r="A135" s="35" t="s">
        <v>205</v>
      </c>
      <c r="B135" s="28" t="s">
        <v>26</v>
      </c>
      <c r="C135" s="28" t="s">
        <v>34</v>
      </c>
      <c r="D135" s="36">
        <v>46154</v>
      </c>
      <c r="E135" s="37">
        <v>2500</v>
      </c>
      <c r="F135" s="33">
        <v>3.5</v>
      </c>
      <c r="G135" s="9">
        <v>8692</v>
      </c>
      <c r="H135" s="9">
        <v>0.9</v>
      </c>
      <c r="I135" s="9">
        <v>7822.8</v>
      </c>
    </row>
    <row r="136" spans="1:9" x14ac:dyDescent="0.25">
      <c r="A136" s="35" t="s">
        <v>206</v>
      </c>
      <c r="B136" s="28" t="s">
        <v>26</v>
      </c>
      <c r="C136" s="28" t="s">
        <v>34</v>
      </c>
      <c r="D136" s="36">
        <v>46166</v>
      </c>
      <c r="E136" s="37">
        <v>2500</v>
      </c>
      <c r="F136" s="33">
        <v>3.5</v>
      </c>
      <c r="G136" s="9">
        <v>8929</v>
      </c>
      <c r="H136" s="9">
        <v>0.9</v>
      </c>
      <c r="I136" s="9">
        <v>8036.1</v>
      </c>
    </row>
    <row r="137" spans="1:9" x14ac:dyDescent="0.25">
      <c r="A137" s="35" t="s">
        <v>207</v>
      </c>
      <c r="B137" s="28" t="s">
        <v>26</v>
      </c>
      <c r="C137" s="28" t="s">
        <v>34</v>
      </c>
      <c r="D137" s="36">
        <v>46143</v>
      </c>
      <c r="E137" s="37">
        <v>2500</v>
      </c>
      <c r="F137" s="33">
        <v>3.5</v>
      </c>
      <c r="G137" s="9">
        <v>8977</v>
      </c>
      <c r="H137" s="9">
        <v>0.9</v>
      </c>
      <c r="I137" s="9">
        <v>8079.3</v>
      </c>
    </row>
    <row r="138" spans="1:9" x14ac:dyDescent="0.25">
      <c r="A138" s="35" t="s">
        <v>208</v>
      </c>
      <c r="B138" s="28" t="s">
        <v>26</v>
      </c>
      <c r="C138" s="28" t="s">
        <v>34</v>
      </c>
      <c r="D138" s="36">
        <v>46179</v>
      </c>
      <c r="E138" s="37">
        <v>2500</v>
      </c>
      <c r="F138" s="33">
        <v>3.5</v>
      </c>
      <c r="G138" s="9">
        <v>8047</v>
      </c>
      <c r="H138" s="9">
        <v>0.89</v>
      </c>
      <c r="I138" s="9">
        <v>7161.83</v>
      </c>
    </row>
    <row r="139" spans="1:9" x14ac:dyDescent="0.25">
      <c r="A139" s="35" t="s">
        <v>209</v>
      </c>
      <c r="B139" s="28" t="s">
        <v>26</v>
      </c>
      <c r="C139" s="28" t="s">
        <v>34</v>
      </c>
      <c r="D139" s="36">
        <v>46184</v>
      </c>
      <c r="E139" s="37">
        <v>2500</v>
      </c>
      <c r="F139" s="33">
        <v>3.5</v>
      </c>
      <c r="G139" s="9">
        <v>8627</v>
      </c>
      <c r="H139" s="9">
        <v>0.89</v>
      </c>
      <c r="I139" s="9">
        <v>7678.03</v>
      </c>
    </row>
    <row r="140" spans="1:9" x14ac:dyDescent="0.25">
      <c r="A140" s="35" t="s">
        <v>210</v>
      </c>
      <c r="B140" s="28" t="s">
        <v>26</v>
      </c>
      <c r="C140" s="28" t="s">
        <v>34</v>
      </c>
      <c r="D140" s="36">
        <v>46192</v>
      </c>
      <c r="E140" s="37">
        <v>2500</v>
      </c>
      <c r="F140" s="33">
        <v>3.5</v>
      </c>
      <c r="G140" s="9">
        <v>9617</v>
      </c>
      <c r="H140" s="9">
        <v>0.89</v>
      </c>
      <c r="I140" s="9">
        <v>8559.130000000001</v>
      </c>
    </row>
    <row r="141" spans="1:9" x14ac:dyDescent="0.25">
      <c r="A141" s="35" t="s">
        <v>211</v>
      </c>
      <c r="B141" s="28" t="s">
        <v>26</v>
      </c>
      <c r="C141" s="28" t="s">
        <v>34</v>
      </c>
      <c r="D141" s="36">
        <v>46188</v>
      </c>
      <c r="E141" s="37">
        <v>2500</v>
      </c>
      <c r="F141" s="33">
        <v>3.5</v>
      </c>
      <c r="G141" s="9">
        <v>8649</v>
      </c>
      <c r="H141" s="9">
        <v>0.89</v>
      </c>
      <c r="I141" s="9">
        <v>7697.61</v>
      </c>
    </row>
    <row r="142" spans="1:9" x14ac:dyDescent="0.25">
      <c r="A142" s="35" t="s">
        <v>212</v>
      </c>
      <c r="B142" s="28" t="s">
        <v>26</v>
      </c>
      <c r="C142" s="28" t="s">
        <v>34</v>
      </c>
      <c r="D142" s="36">
        <v>46183</v>
      </c>
      <c r="E142" s="37">
        <v>2500</v>
      </c>
      <c r="F142" s="33">
        <v>3.5</v>
      </c>
      <c r="G142" s="9">
        <v>8988</v>
      </c>
      <c r="H142" s="9">
        <v>0.89</v>
      </c>
      <c r="I142" s="9">
        <v>7999.32</v>
      </c>
    </row>
    <row r="143" spans="1:9" x14ac:dyDescent="0.25">
      <c r="A143" s="35" t="s">
        <v>213</v>
      </c>
      <c r="B143" s="28" t="s">
        <v>26</v>
      </c>
      <c r="C143" s="28" t="s">
        <v>34</v>
      </c>
      <c r="D143" s="36">
        <v>46190</v>
      </c>
      <c r="E143" s="37">
        <v>2500</v>
      </c>
      <c r="F143" s="33">
        <v>3.5</v>
      </c>
      <c r="G143" s="9">
        <v>8805</v>
      </c>
      <c r="H143" s="9">
        <v>0.89</v>
      </c>
      <c r="I143" s="9">
        <v>7836.45</v>
      </c>
    </row>
    <row r="144" spans="1:9" x14ac:dyDescent="0.25">
      <c r="A144" s="35" t="s">
        <v>214</v>
      </c>
      <c r="B144" s="28" t="s">
        <v>26</v>
      </c>
      <c r="C144" s="28" t="s">
        <v>34</v>
      </c>
      <c r="D144" s="36">
        <v>46176</v>
      </c>
      <c r="E144" s="37">
        <v>2500</v>
      </c>
      <c r="F144" s="33">
        <v>3.5</v>
      </c>
      <c r="G144" s="9">
        <v>8890</v>
      </c>
      <c r="H144" s="9">
        <v>0.89</v>
      </c>
      <c r="I144" s="9">
        <v>7912.1</v>
      </c>
    </row>
    <row r="145" spans="1:9" x14ac:dyDescent="0.25">
      <c r="A145" s="35" t="s">
        <v>215</v>
      </c>
      <c r="B145" s="28" t="s">
        <v>26</v>
      </c>
      <c r="C145" s="28" t="s">
        <v>34</v>
      </c>
      <c r="D145" s="36">
        <v>46201</v>
      </c>
      <c r="E145" s="37">
        <v>2500</v>
      </c>
      <c r="F145" s="33">
        <v>3.5</v>
      </c>
      <c r="G145" s="9">
        <v>8255</v>
      </c>
      <c r="H145" s="9">
        <v>0.89</v>
      </c>
      <c r="I145" s="9">
        <v>7346.95</v>
      </c>
    </row>
    <row r="146" spans="1:9" x14ac:dyDescent="0.25">
      <c r="A146" s="35" t="s">
        <v>216</v>
      </c>
      <c r="B146" s="28" t="s">
        <v>52</v>
      </c>
      <c r="C146" s="28" t="s">
        <v>36</v>
      </c>
      <c r="D146" s="36">
        <v>46023</v>
      </c>
      <c r="E146" s="37">
        <v>9500</v>
      </c>
      <c r="F146" s="33">
        <v>6.58</v>
      </c>
      <c r="G146" s="9">
        <v>59935</v>
      </c>
      <c r="H146" s="9">
        <v>0.7</v>
      </c>
      <c r="I146" s="9">
        <v>41954.5</v>
      </c>
    </row>
    <row r="147" spans="1:9" x14ac:dyDescent="0.25">
      <c r="A147" s="35" t="s">
        <v>217</v>
      </c>
      <c r="B147" s="28" t="s">
        <v>52</v>
      </c>
      <c r="C147" s="28" t="s">
        <v>36</v>
      </c>
      <c r="D147" s="36">
        <v>46030</v>
      </c>
      <c r="E147" s="37">
        <v>9500</v>
      </c>
      <c r="F147" s="33">
        <v>6.58</v>
      </c>
      <c r="G147" s="9">
        <v>62499</v>
      </c>
      <c r="H147" s="9">
        <v>0.7</v>
      </c>
      <c r="I147" s="9">
        <v>43749.299999999996</v>
      </c>
    </row>
    <row r="148" spans="1:9" x14ac:dyDescent="0.25">
      <c r="A148" s="35" t="s">
        <v>218</v>
      </c>
      <c r="B148" s="28" t="s">
        <v>52</v>
      </c>
      <c r="C148" s="28" t="s">
        <v>36</v>
      </c>
      <c r="D148" s="36">
        <v>46038</v>
      </c>
      <c r="E148" s="37">
        <v>9500</v>
      </c>
      <c r="F148" s="33">
        <v>6.58</v>
      </c>
      <c r="G148" s="9">
        <v>66411</v>
      </c>
      <c r="H148" s="9">
        <v>0.7</v>
      </c>
      <c r="I148" s="9">
        <v>46487.7</v>
      </c>
    </row>
    <row r="149" spans="1:9" x14ac:dyDescent="0.25">
      <c r="A149" s="35" t="s">
        <v>219</v>
      </c>
      <c r="B149" s="28" t="s">
        <v>52</v>
      </c>
      <c r="C149" s="28" t="s">
        <v>36</v>
      </c>
      <c r="D149" s="36">
        <v>46047</v>
      </c>
      <c r="E149" s="37">
        <v>9500</v>
      </c>
      <c r="F149" s="33">
        <v>6.58</v>
      </c>
      <c r="G149" s="9">
        <v>58351</v>
      </c>
      <c r="H149" s="9">
        <v>0.7</v>
      </c>
      <c r="I149" s="9">
        <v>40845.699999999997</v>
      </c>
    </row>
    <row r="150" spans="1:9" x14ac:dyDescent="0.25">
      <c r="A150" s="35" t="s">
        <v>220</v>
      </c>
      <c r="B150" s="28" t="s">
        <v>52</v>
      </c>
      <c r="C150" s="28" t="s">
        <v>36</v>
      </c>
      <c r="D150" s="36">
        <v>46047</v>
      </c>
      <c r="E150" s="37">
        <v>9500</v>
      </c>
      <c r="F150" s="33">
        <v>6.58</v>
      </c>
      <c r="G150" s="9">
        <v>64380</v>
      </c>
      <c r="H150" s="9">
        <v>0.7</v>
      </c>
      <c r="I150" s="9">
        <v>45066</v>
      </c>
    </row>
    <row r="151" spans="1:9" x14ac:dyDescent="0.25">
      <c r="A151" s="35" t="s">
        <v>221</v>
      </c>
      <c r="B151" s="28" t="s">
        <v>52</v>
      </c>
      <c r="C151" s="28" t="s">
        <v>36</v>
      </c>
      <c r="D151" s="36">
        <v>46029</v>
      </c>
      <c r="E151" s="37">
        <v>9500</v>
      </c>
      <c r="F151" s="33">
        <v>6.58</v>
      </c>
      <c r="G151" s="9">
        <v>68377</v>
      </c>
      <c r="H151" s="9">
        <v>0.7</v>
      </c>
      <c r="I151" s="9">
        <v>47863.899999999994</v>
      </c>
    </row>
    <row r="152" spans="1:9" x14ac:dyDescent="0.25">
      <c r="A152" s="35" t="s">
        <v>222</v>
      </c>
      <c r="B152" s="28" t="s">
        <v>52</v>
      </c>
      <c r="C152" s="28" t="s">
        <v>36</v>
      </c>
      <c r="D152" s="36">
        <v>46030</v>
      </c>
      <c r="E152" s="37">
        <v>9500</v>
      </c>
      <c r="F152" s="33">
        <v>6.58</v>
      </c>
      <c r="G152" s="9">
        <v>56583</v>
      </c>
      <c r="H152" s="9">
        <v>0.7</v>
      </c>
      <c r="I152" s="9">
        <v>39608.1</v>
      </c>
    </row>
    <row r="153" spans="1:9" x14ac:dyDescent="0.25">
      <c r="A153" s="35" t="s">
        <v>223</v>
      </c>
      <c r="B153" s="28" t="s">
        <v>52</v>
      </c>
      <c r="C153" s="28" t="s">
        <v>36</v>
      </c>
      <c r="D153" s="36">
        <v>46033</v>
      </c>
      <c r="E153" s="37">
        <v>9500</v>
      </c>
      <c r="F153" s="33">
        <v>6.58</v>
      </c>
      <c r="G153" s="9">
        <v>64128</v>
      </c>
      <c r="H153" s="9">
        <v>0.7</v>
      </c>
      <c r="I153" s="9">
        <v>44889.599999999999</v>
      </c>
    </row>
    <row r="154" spans="1:9" x14ac:dyDescent="0.25">
      <c r="A154" s="35" t="s">
        <v>224</v>
      </c>
      <c r="B154" s="28" t="s">
        <v>52</v>
      </c>
      <c r="C154" s="28" t="s">
        <v>36</v>
      </c>
      <c r="D154" s="36">
        <v>46078</v>
      </c>
      <c r="E154" s="37">
        <v>9500</v>
      </c>
      <c r="F154" s="33">
        <v>6.58</v>
      </c>
      <c r="G154" s="9">
        <v>65559</v>
      </c>
      <c r="H154" s="9">
        <v>0.75</v>
      </c>
      <c r="I154" s="9">
        <v>49169.25</v>
      </c>
    </row>
    <row r="155" spans="1:9" x14ac:dyDescent="0.25">
      <c r="A155" s="35" t="s">
        <v>225</v>
      </c>
      <c r="B155" s="28" t="s">
        <v>52</v>
      </c>
      <c r="C155" s="28" t="s">
        <v>36</v>
      </c>
      <c r="D155" s="36">
        <v>46079</v>
      </c>
      <c r="E155" s="37">
        <v>9500</v>
      </c>
      <c r="F155" s="33">
        <v>6.58</v>
      </c>
      <c r="G155" s="9">
        <v>67248</v>
      </c>
      <c r="H155" s="9">
        <v>0.75</v>
      </c>
      <c r="I155" s="9">
        <v>50436</v>
      </c>
    </row>
    <row r="156" spans="1:9" x14ac:dyDescent="0.25">
      <c r="A156" s="35" t="s">
        <v>226</v>
      </c>
      <c r="B156" s="28" t="s">
        <v>52</v>
      </c>
      <c r="C156" s="28" t="s">
        <v>36</v>
      </c>
      <c r="D156" s="36">
        <v>46057</v>
      </c>
      <c r="E156" s="37">
        <v>9500</v>
      </c>
      <c r="F156" s="33">
        <v>6.58</v>
      </c>
      <c r="G156" s="9">
        <v>59039</v>
      </c>
      <c r="H156" s="9">
        <v>0.75</v>
      </c>
      <c r="I156" s="9">
        <v>44279.25</v>
      </c>
    </row>
    <row r="157" spans="1:9" x14ac:dyDescent="0.25">
      <c r="A157" s="35" t="s">
        <v>227</v>
      </c>
      <c r="B157" s="28" t="s">
        <v>52</v>
      </c>
      <c r="C157" s="28" t="s">
        <v>36</v>
      </c>
      <c r="D157" s="36">
        <v>46060</v>
      </c>
      <c r="E157" s="37">
        <v>9500</v>
      </c>
      <c r="F157" s="33">
        <v>6.58</v>
      </c>
      <c r="G157" s="9">
        <v>57261</v>
      </c>
      <c r="H157" s="9">
        <v>0.75</v>
      </c>
      <c r="I157" s="9">
        <v>42945.75</v>
      </c>
    </row>
    <row r="158" spans="1:9" x14ac:dyDescent="0.25">
      <c r="A158" s="35" t="s">
        <v>228</v>
      </c>
      <c r="B158" s="28" t="s">
        <v>52</v>
      </c>
      <c r="C158" s="28" t="s">
        <v>36</v>
      </c>
      <c r="D158" s="36">
        <v>46064</v>
      </c>
      <c r="E158" s="37">
        <v>9500</v>
      </c>
      <c r="F158" s="33">
        <v>6.58</v>
      </c>
      <c r="G158" s="9">
        <v>57844</v>
      </c>
      <c r="H158" s="9">
        <v>0.75</v>
      </c>
      <c r="I158" s="9">
        <v>43383</v>
      </c>
    </row>
    <row r="159" spans="1:9" x14ac:dyDescent="0.25">
      <c r="A159" s="35" t="s">
        <v>229</v>
      </c>
      <c r="B159" s="28" t="s">
        <v>52</v>
      </c>
      <c r="C159" s="28" t="s">
        <v>36</v>
      </c>
      <c r="D159" s="36">
        <v>46081</v>
      </c>
      <c r="E159" s="37">
        <v>9500</v>
      </c>
      <c r="F159" s="33">
        <v>6.58</v>
      </c>
      <c r="G159" s="9">
        <v>59503</v>
      </c>
      <c r="H159" s="9">
        <v>0.75</v>
      </c>
      <c r="I159" s="9">
        <v>44627.25</v>
      </c>
    </row>
    <row r="160" spans="1:9" x14ac:dyDescent="0.25">
      <c r="A160" s="35" t="s">
        <v>230</v>
      </c>
      <c r="B160" s="28" t="s">
        <v>52</v>
      </c>
      <c r="C160" s="28" t="s">
        <v>36</v>
      </c>
      <c r="D160" s="36">
        <v>46063</v>
      </c>
      <c r="E160" s="37">
        <v>9500</v>
      </c>
      <c r="F160" s="33">
        <v>6.58</v>
      </c>
      <c r="G160" s="9">
        <v>65580</v>
      </c>
      <c r="H160" s="9">
        <v>0.75</v>
      </c>
      <c r="I160" s="9">
        <v>49185</v>
      </c>
    </row>
    <row r="161" spans="1:9" x14ac:dyDescent="0.25">
      <c r="A161" s="35" t="s">
        <v>231</v>
      </c>
      <c r="B161" s="28" t="s">
        <v>52</v>
      </c>
      <c r="C161" s="28" t="s">
        <v>36</v>
      </c>
      <c r="D161" s="36">
        <v>46062</v>
      </c>
      <c r="E161" s="37">
        <v>9500</v>
      </c>
      <c r="F161" s="33">
        <v>6.58</v>
      </c>
      <c r="G161" s="9">
        <v>62250</v>
      </c>
      <c r="H161" s="9">
        <v>0.75</v>
      </c>
      <c r="I161" s="9">
        <v>46687.5</v>
      </c>
    </row>
    <row r="162" spans="1:9" x14ac:dyDescent="0.25">
      <c r="A162" s="35" t="s">
        <v>232</v>
      </c>
      <c r="B162" s="28" t="s">
        <v>52</v>
      </c>
      <c r="C162" s="28" t="s">
        <v>36</v>
      </c>
      <c r="D162" s="36">
        <v>46098</v>
      </c>
      <c r="E162" s="37">
        <v>9500</v>
      </c>
      <c r="F162" s="33">
        <v>6.58</v>
      </c>
      <c r="G162" s="9">
        <v>60338</v>
      </c>
      <c r="H162" s="9">
        <v>0.8</v>
      </c>
      <c r="I162" s="9">
        <v>48270.400000000001</v>
      </c>
    </row>
    <row r="163" spans="1:9" x14ac:dyDescent="0.25">
      <c r="A163" s="35" t="s">
        <v>233</v>
      </c>
      <c r="B163" s="28" t="s">
        <v>52</v>
      </c>
      <c r="C163" s="28" t="s">
        <v>36</v>
      </c>
      <c r="D163" s="36">
        <v>46103</v>
      </c>
      <c r="E163" s="37">
        <v>9500</v>
      </c>
      <c r="F163" s="33">
        <v>6.58</v>
      </c>
      <c r="G163" s="9">
        <v>66198</v>
      </c>
      <c r="H163" s="9">
        <v>0.8</v>
      </c>
      <c r="I163" s="9">
        <v>52958.400000000001</v>
      </c>
    </row>
    <row r="164" spans="1:9" x14ac:dyDescent="0.25">
      <c r="A164" s="35" t="s">
        <v>234</v>
      </c>
      <c r="B164" s="28" t="s">
        <v>52</v>
      </c>
      <c r="C164" s="28" t="s">
        <v>36</v>
      </c>
      <c r="D164" s="36">
        <v>46104</v>
      </c>
      <c r="E164" s="37">
        <v>9500</v>
      </c>
      <c r="F164" s="33">
        <v>6.58</v>
      </c>
      <c r="G164" s="9">
        <v>62932</v>
      </c>
      <c r="H164" s="9">
        <v>0.8</v>
      </c>
      <c r="I164" s="9">
        <v>50345.600000000006</v>
      </c>
    </row>
    <row r="165" spans="1:9" x14ac:dyDescent="0.25">
      <c r="A165" s="35" t="s">
        <v>235</v>
      </c>
      <c r="B165" s="28" t="s">
        <v>52</v>
      </c>
      <c r="C165" s="28" t="s">
        <v>36</v>
      </c>
      <c r="D165" s="36">
        <v>46103</v>
      </c>
      <c r="E165" s="37">
        <v>9500</v>
      </c>
      <c r="F165" s="33">
        <v>6.58</v>
      </c>
      <c r="G165" s="9">
        <v>64502</v>
      </c>
      <c r="H165" s="9">
        <v>0.8</v>
      </c>
      <c r="I165" s="9">
        <v>51601.600000000006</v>
      </c>
    </row>
    <row r="166" spans="1:9" x14ac:dyDescent="0.25">
      <c r="A166" s="35" t="s">
        <v>236</v>
      </c>
      <c r="B166" s="28" t="s">
        <v>52</v>
      </c>
      <c r="C166" s="28" t="s">
        <v>36</v>
      </c>
      <c r="D166" s="36">
        <v>46099</v>
      </c>
      <c r="E166" s="37">
        <v>9500</v>
      </c>
      <c r="F166" s="33">
        <v>6.58</v>
      </c>
      <c r="G166" s="9">
        <v>56392</v>
      </c>
      <c r="H166" s="9">
        <v>0.8</v>
      </c>
      <c r="I166" s="9">
        <v>45113.600000000006</v>
      </c>
    </row>
    <row r="167" spans="1:9" x14ac:dyDescent="0.25">
      <c r="A167" s="35" t="s">
        <v>237</v>
      </c>
      <c r="B167" s="28" t="s">
        <v>52</v>
      </c>
      <c r="C167" s="28" t="s">
        <v>36</v>
      </c>
      <c r="D167" s="36">
        <v>46102</v>
      </c>
      <c r="E167" s="37">
        <v>9500</v>
      </c>
      <c r="F167" s="33">
        <v>6.58</v>
      </c>
      <c r="G167" s="9">
        <v>62724</v>
      </c>
      <c r="H167" s="9">
        <v>0.8</v>
      </c>
      <c r="I167" s="9">
        <v>50179.200000000004</v>
      </c>
    </row>
    <row r="168" spans="1:9" x14ac:dyDescent="0.25">
      <c r="A168" s="35" t="s">
        <v>238</v>
      </c>
      <c r="B168" s="28" t="s">
        <v>52</v>
      </c>
      <c r="C168" s="28" t="s">
        <v>36</v>
      </c>
      <c r="D168" s="36">
        <v>46083</v>
      </c>
      <c r="E168" s="37">
        <v>9500</v>
      </c>
      <c r="F168" s="33">
        <v>6.58</v>
      </c>
      <c r="G168" s="9">
        <v>65231</v>
      </c>
      <c r="H168" s="9">
        <v>0.8</v>
      </c>
      <c r="I168" s="9">
        <v>52184.800000000003</v>
      </c>
    </row>
    <row r="169" spans="1:9" x14ac:dyDescent="0.25">
      <c r="A169" s="35" t="s">
        <v>239</v>
      </c>
      <c r="B169" s="28" t="s">
        <v>52</v>
      </c>
      <c r="C169" s="28" t="s">
        <v>36</v>
      </c>
      <c r="D169" s="36">
        <v>46099</v>
      </c>
      <c r="E169" s="37">
        <v>9500</v>
      </c>
      <c r="F169" s="33">
        <v>6.58</v>
      </c>
      <c r="G169" s="9">
        <v>61463</v>
      </c>
      <c r="H169" s="9">
        <v>0.8</v>
      </c>
      <c r="I169" s="9">
        <v>49170.400000000001</v>
      </c>
    </row>
    <row r="170" spans="1:9" x14ac:dyDescent="0.25">
      <c r="A170" s="35" t="s">
        <v>240</v>
      </c>
      <c r="B170" s="28" t="s">
        <v>52</v>
      </c>
      <c r="C170" s="28" t="s">
        <v>36</v>
      </c>
      <c r="D170" s="36">
        <v>46137</v>
      </c>
      <c r="E170" s="37">
        <v>9500</v>
      </c>
      <c r="F170" s="33">
        <v>6.58</v>
      </c>
      <c r="G170" s="9">
        <v>61259</v>
      </c>
      <c r="H170" s="9">
        <v>0.85</v>
      </c>
      <c r="I170" s="9">
        <v>52070.15</v>
      </c>
    </row>
    <row r="171" spans="1:9" x14ac:dyDescent="0.25">
      <c r="A171" s="35" t="s">
        <v>241</v>
      </c>
      <c r="B171" s="28" t="s">
        <v>52</v>
      </c>
      <c r="C171" s="28" t="s">
        <v>36</v>
      </c>
      <c r="D171" s="36">
        <v>46119</v>
      </c>
      <c r="E171" s="37">
        <v>9500</v>
      </c>
      <c r="F171" s="33">
        <v>6.58</v>
      </c>
      <c r="G171" s="9">
        <v>59251</v>
      </c>
      <c r="H171" s="9">
        <v>0.85</v>
      </c>
      <c r="I171" s="9">
        <v>50363.35</v>
      </c>
    </row>
    <row r="172" spans="1:9" x14ac:dyDescent="0.25">
      <c r="A172" s="35" t="s">
        <v>242</v>
      </c>
      <c r="B172" s="28" t="s">
        <v>52</v>
      </c>
      <c r="C172" s="28" t="s">
        <v>36</v>
      </c>
      <c r="D172" s="36">
        <v>46139</v>
      </c>
      <c r="E172" s="37">
        <v>9500</v>
      </c>
      <c r="F172" s="33">
        <v>6.58</v>
      </c>
      <c r="G172" s="9">
        <v>62983</v>
      </c>
      <c r="H172" s="9">
        <v>0.85</v>
      </c>
      <c r="I172" s="9">
        <v>53535.549999999996</v>
      </c>
    </row>
    <row r="173" spans="1:9" x14ac:dyDescent="0.25">
      <c r="A173" s="35" t="s">
        <v>243</v>
      </c>
      <c r="B173" s="28" t="s">
        <v>52</v>
      </c>
      <c r="C173" s="28" t="s">
        <v>36</v>
      </c>
      <c r="D173" s="36">
        <v>46123</v>
      </c>
      <c r="E173" s="37">
        <v>9500</v>
      </c>
      <c r="F173" s="33">
        <v>6.58</v>
      </c>
      <c r="G173" s="9">
        <v>57641</v>
      </c>
      <c r="H173" s="9">
        <v>0.85</v>
      </c>
      <c r="I173" s="9">
        <v>48994.85</v>
      </c>
    </row>
    <row r="174" spans="1:9" x14ac:dyDescent="0.25">
      <c r="A174" s="35" t="s">
        <v>244</v>
      </c>
      <c r="B174" s="28" t="s">
        <v>52</v>
      </c>
      <c r="C174" s="28" t="s">
        <v>36</v>
      </c>
      <c r="D174" s="36">
        <v>46137</v>
      </c>
      <c r="E174" s="37">
        <v>9500</v>
      </c>
      <c r="F174" s="33">
        <v>6.58</v>
      </c>
      <c r="G174" s="9">
        <v>61050</v>
      </c>
      <c r="H174" s="9">
        <v>0.85</v>
      </c>
      <c r="I174" s="9">
        <v>51892.5</v>
      </c>
    </row>
    <row r="175" spans="1:9" x14ac:dyDescent="0.25">
      <c r="A175" s="35" t="s">
        <v>245</v>
      </c>
      <c r="B175" s="28" t="s">
        <v>52</v>
      </c>
      <c r="C175" s="28" t="s">
        <v>36</v>
      </c>
      <c r="D175" s="36">
        <v>46125</v>
      </c>
      <c r="E175" s="37">
        <v>9500</v>
      </c>
      <c r="F175" s="33">
        <v>6.58</v>
      </c>
      <c r="G175" s="9">
        <v>57787</v>
      </c>
      <c r="H175" s="9">
        <v>0.85</v>
      </c>
      <c r="I175" s="9">
        <v>49118.95</v>
      </c>
    </row>
    <row r="176" spans="1:9" x14ac:dyDescent="0.25">
      <c r="A176" s="35" t="s">
        <v>246</v>
      </c>
      <c r="B176" s="28" t="s">
        <v>52</v>
      </c>
      <c r="C176" s="28" t="s">
        <v>36</v>
      </c>
      <c r="D176" s="36">
        <v>46113</v>
      </c>
      <c r="E176" s="37">
        <v>9500</v>
      </c>
      <c r="F176" s="33">
        <v>6.58</v>
      </c>
      <c r="G176" s="9">
        <v>61182</v>
      </c>
      <c r="H176" s="9">
        <v>0.85</v>
      </c>
      <c r="I176" s="9">
        <v>52004.7</v>
      </c>
    </row>
    <row r="177" spans="1:9" x14ac:dyDescent="0.25">
      <c r="A177" s="35" t="s">
        <v>247</v>
      </c>
      <c r="B177" s="28" t="s">
        <v>52</v>
      </c>
      <c r="C177" s="28" t="s">
        <v>36</v>
      </c>
      <c r="D177" s="36">
        <v>46132</v>
      </c>
      <c r="E177" s="37">
        <v>9500</v>
      </c>
      <c r="F177" s="33">
        <v>6.58</v>
      </c>
      <c r="G177" s="9">
        <v>67404</v>
      </c>
      <c r="H177" s="9">
        <v>0.85</v>
      </c>
      <c r="I177" s="9">
        <v>57293.4</v>
      </c>
    </row>
    <row r="178" spans="1:9" x14ac:dyDescent="0.25">
      <c r="A178" s="35" t="s">
        <v>248</v>
      </c>
      <c r="B178" s="28" t="s">
        <v>52</v>
      </c>
      <c r="C178" s="28" t="s">
        <v>36</v>
      </c>
      <c r="D178" s="36">
        <v>46156</v>
      </c>
      <c r="E178" s="37">
        <v>9500</v>
      </c>
      <c r="F178" s="33">
        <v>6.58</v>
      </c>
      <c r="G178" s="9">
        <v>64365</v>
      </c>
      <c r="H178" s="9">
        <v>0.9</v>
      </c>
      <c r="I178" s="9">
        <v>57928.5</v>
      </c>
    </row>
    <row r="179" spans="1:9" x14ac:dyDescent="0.25">
      <c r="A179" s="35" t="s">
        <v>249</v>
      </c>
      <c r="B179" s="28" t="s">
        <v>52</v>
      </c>
      <c r="C179" s="28" t="s">
        <v>36</v>
      </c>
      <c r="D179" s="36">
        <v>46147</v>
      </c>
      <c r="E179" s="37">
        <v>9500</v>
      </c>
      <c r="F179" s="33">
        <v>6.58</v>
      </c>
      <c r="G179" s="9">
        <v>62231</v>
      </c>
      <c r="H179" s="9">
        <v>0.9</v>
      </c>
      <c r="I179" s="9">
        <v>56007.9</v>
      </c>
    </row>
    <row r="180" spans="1:9" x14ac:dyDescent="0.25">
      <c r="A180" s="35" t="s">
        <v>250</v>
      </c>
      <c r="B180" s="28" t="s">
        <v>52</v>
      </c>
      <c r="C180" s="28" t="s">
        <v>36</v>
      </c>
      <c r="D180" s="36">
        <v>46154</v>
      </c>
      <c r="E180" s="37">
        <v>9500</v>
      </c>
      <c r="F180" s="33">
        <v>6.58</v>
      </c>
      <c r="G180" s="9">
        <v>58719</v>
      </c>
      <c r="H180" s="9">
        <v>0.9</v>
      </c>
      <c r="I180" s="9">
        <v>52847.1</v>
      </c>
    </row>
    <row r="181" spans="1:9" x14ac:dyDescent="0.25">
      <c r="A181" s="35" t="s">
        <v>251</v>
      </c>
      <c r="B181" s="28" t="s">
        <v>52</v>
      </c>
      <c r="C181" s="28" t="s">
        <v>36</v>
      </c>
      <c r="D181" s="36">
        <v>46144</v>
      </c>
      <c r="E181" s="37">
        <v>9500</v>
      </c>
      <c r="F181" s="33">
        <v>6.58</v>
      </c>
      <c r="G181" s="9">
        <v>66871</v>
      </c>
      <c r="H181" s="9">
        <v>0.9</v>
      </c>
      <c r="I181" s="9">
        <v>60183.9</v>
      </c>
    </row>
    <row r="182" spans="1:9" x14ac:dyDescent="0.25">
      <c r="A182" s="35" t="s">
        <v>252</v>
      </c>
      <c r="B182" s="28" t="s">
        <v>52</v>
      </c>
      <c r="C182" s="28" t="s">
        <v>36</v>
      </c>
      <c r="D182" s="36">
        <v>46144</v>
      </c>
      <c r="E182" s="37">
        <v>9500</v>
      </c>
      <c r="F182" s="33">
        <v>6.58</v>
      </c>
      <c r="G182" s="9">
        <v>62888</v>
      </c>
      <c r="H182" s="9">
        <v>0.9</v>
      </c>
      <c r="I182" s="9">
        <v>56599.200000000004</v>
      </c>
    </row>
    <row r="183" spans="1:9" x14ac:dyDescent="0.25">
      <c r="A183" s="35" t="s">
        <v>253</v>
      </c>
      <c r="B183" s="28" t="s">
        <v>52</v>
      </c>
      <c r="C183" s="28" t="s">
        <v>36</v>
      </c>
      <c r="D183" s="36">
        <v>46146</v>
      </c>
      <c r="E183" s="37">
        <v>9500</v>
      </c>
      <c r="F183" s="33">
        <v>6.58</v>
      </c>
      <c r="G183" s="9">
        <v>58409</v>
      </c>
      <c r="H183" s="9">
        <v>0.9</v>
      </c>
      <c r="I183" s="9">
        <v>52568.1</v>
      </c>
    </row>
    <row r="184" spans="1:9" x14ac:dyDescent="0.25">
      <c r="A184" s="35" t="s">
        <v>254</v>
      </c>
      <c r="B184" s="28" t="s">
        <v>52</v>
      </c>
      <c r="C184" s="28" t="s">
        <v>36</v>
      </c>
      <c r="D184" s="36">
        <v>46155</v>
      </c>
      <c r="E184" s="37">
        <v>9500</v>
      </c>
      <c r="F184" s="33">
        <v>6.58</v>
      </c>
      <c r="G184" s="9">
        <v>68560</v>
      </c>
      <c r="H184" s="9">
        <v>0.9</v>
      </c>
      <c r="I184" s="9">
        <v>61704</v>
      </c>
    </row>
    <row r="185" spans="1:9" x14ac:dyDescent="0.25">
      <c r="A185" s="35" t="s">
        <v>255</v>
      </c>
      <c r="B185" s="28" t="s">
        <v>52</v>
      </c>
      <c r="C185" s="28" t="s">
        <v>36</v>
      </c>
      <c r="D185" s="36">
        <v>46159</v>
      </c>
      <c r="E185" s="37">
        <v>9500</v>
      </c>
      <c r="F185" s="33">
        <v>6.58</v>
      </c>
      <c r="G185" s="9">
        <v>59320</v>
      </c>
      <c r="H185" s="9">
        <v>0.9</v>
      </c>
      <c r="I185" s="9">
        <v>53388</v>
      </c>
    </row>
    <row r="186" spans="1:9" x14ac:dyDescent="0.25">
      <c r="A186" s="35" t="s">
        <v>256</v>
      </c>
      <c r="B186" s="28" t="s">
        <v>52</v>
      </c>
      <c r="C186" s="28" t="s">
        <v>36</v>
      </c>
      <c r="D186" s="36">
        <v>46181</v>
      </c>
      <c r="E186" s="37">
        <v>9500</v>
      </c>
      <c r="F186" s="33">
        <v>6.58</v>
      </c>
      <c r="G186" s="9">
        <v>68658</v>
      </c>
      <c r="H186" s="9">
        <v>0.89</v>
      </c>
      <c r="I186" s="9">
        <v>61105.62</v>
      </c>
    </row>
    <row r="187" spans="1:9" x14ac:dyDescent="0.25">
      <c r="A187" s="35" t="s">
        <v>257</v>
      </c>
      <c r="B187" s="28" t="s">
        <v>52</v>
      </c>
      <c r="C187" s="28" t="s">
        <v>36</v>
      </c>
      <c r="D187" s="36">
        <v>46186</v>
      </c>
      <c r="E187" s="37">
        <v>9500</v>
      </c>
      <c r="F187" s="33">
        <v>6.58</v>
      </c>
      <c r="G187" s="9">
        <v>60271</v>
      </c>
      <c r="H187" s="9">
        <v>0.89</v>
      </c>
      <c r="I187" s="9">
        <v>53641.19</v>
      </c>
    </row>
    <row r="188" spans="1:9" x14ac:dyDescent="0.25">
      <c r="A188" s="35" t="s">
        <v>258</v>
      </c>
      <c r="B188" s="28" t="s">
        <v>52</v>
      </c>
      <c r="C188" s="28" t="s">
        <v>36</v>
      </c>
      <c r="D188" s="36">
        <v>46186</v>
      </c>
      <c r="E188" s="37">
        <v>9500</v>
      </c>
      <c r="F188" s="33">
        <v>6.58</v>
      </c>
      <c r="G188" s="9">
        <v>56709</v>
      </c>
      <c r="H188" s="9">
        <v>0.89</v>
      </c>
      <c r="I188" s="9">
        <v>50471.01</v>
      </c>
    </row>
    <row r="189" spans="1:9" x14ac:dyDescent="0.25">
      <c r="A189" s="35" t="s">
        <v>259</v>
      </c>
      <c r="B189" s="28" t="s">
        <v>52</v>
      </c>
      <c r="C189" s="28" t="s">
        <v>36</v>
      </c>
      <c r="D189" s="36">
        <v>46196</v>
      </c>
      <c r="E189" s="37">
        <v>9500</v>
      </c>
      <c r="F189" s="33">
        <v>6.58</v>
      </c>
      <c r="G189" s="9">
        <v>67401</v>
      </c>
      <c r="H189" s="9">
        <v>0.89</v>
      </c>
      <c r="I189" s="9">
        <v>59986.89</v>
      </c>
    </row>
    <row r="190" spans="1:9" x14ac:dyDescent="0.25">
      <c r="A190" s="35" t="s">
        <v>260</v>
      </c>
      <c r="B190" s="28" t="s">
        <v>52</v>
      </c>
      <c r="C190" s="28" t="s">
        <v>36</v>
      </c>
      <c r="D190" s="36">
        <v>46188</v>
      </c>
      <c r="E190" s="37">
        <v>9500</v>
      </c>
      <c r="F190" s="33">
        <v>6.58</v>
      </c>
      <c r="G190" s="9">
        <v>62457</v>
      </c>
      <c r="H190" s="9">
        <v>0.89</v>
      </c>
      <c r="I190" s="9">
        <v>55586.73</v>
      </c>
    </row>
    <row r="191" spans="1:9" x14ac:dyDescent="0.25">
      <c r="A191" s="35" t="s">
        <v>261</v>
      </c>
      <c r="B191" s="28" t="s">
        <v>52</v>
      </c>
      <c r="C191" s="28" t="s">
        <v>36</v>
      </c>
      <c r="D191" s="36">
        <v>46201</v>
      </c>
      <c r="E191" s="37">
        <v>9500</v>
      </c>
      <c r="F191" s="33">
        <v>6.58</v>
      </c>
      <c r="G191" s="9">
        <v>65926</v>
      </c>
      <c r="H191" s="9">
        <v>0.89</v>
      </c>
      <c r="I191" s="9">
        <v>58674.14</v>
      </c>
    </row>
    <row r="192" spans="1:9" x14ac:dyDescent="0.25">
      <c r="A192" s="35" t="s">
        <v>262</v>
      </c>
      <c r="B192" s="28" t="s">
        <v>52</v>
      </c>
      <c r="C192" s="28" t="s">
        <v>36</v>
      </c>
      <c r="D192" s="36">
        <v>46188</v>
      </c>
      <c r="E192" s="37">
        <v>9500</v>
      </c>
      <c r="F192" s="33">
        <v>6.58</v>
      </c>
      <c r="G192" s="9">
        <v>61400</v>
      </c>
      <c r="H192" s="9">
        <v>0.89</v>
      </c>
      <c r="I192" s="9">
        <v>54646</v>
      </c>
    </row>
    <row r="193" spans="1:9" x14ac:dyDescent="0.25">
      <c r="A193" s="35" t="s">
        <v>263</v>
      </c>
      <c r="B193" s="28" t="s">
        <v>52</v>
      </c>
      <c r="C193" s="28" t="s">
        <v>36</v>
      </c>
      <c r="D193" s="36">
        <v>46174</v>
      </c>
      <c r="E193" s="37">
        <v>9500</v>
      </c>
      <c r="F193" s="33">
        <v>6.58</v>
      </c>
      <c r="G193" s="9">
        <v>65684</v>
      </c>
      <c r="H193" s="9">
        <v>0.89</v>
      </c>
      <c r="I193" s="9">
        <v>58458.76</v>
      </c>
    </row>
    <row r="194" spans="1:9" x14ac:dyDescent="0.25">
      <c r="A194" s="35" t="s">
        <v>264</v>
      </c>
      <c r="B194" s="28" t="s">
        <v>28</v>
      </c>
      <c r="C194" s="28" t="s">
        <v>38</v>
      </c>
      <c r="D194" s="36">
        <v>46036</v>
      </c>
      <c r="E194" s="37">
        <v>17400</v>
      </c>
      <c r="F194" s="33">
        <v>15</v>
      </c>
      <c r="G194" s="9">
        <v>257547</v>
      </c>
      <c r="H194" s="9">
        <v>0.7</v>
      </c>
      <c r="I194" s="9">
        <v>180282.9</v>
      </c>
    </row>
    <row r="195" spans="1:9" x14ac:dyDescent="0.25">
      <c r="A195" s="35" t="s">
        <v>265</v>
      </c>
      <c r="B195" s="28" t="s">
        <v>28</v>
      </c>
      <c r="C195" s="28" t="s">
        <v>38</v>
      </c>
      <c r="D195" s="36">
        <v>46034</v>
      </c>
      <c r="E195" s="37">
        <v>17400</v>
      </c>
      <c r="F195" s="33">
        <v>15</v>
      </c>
      <c r="G195" s="9">
        <v>240368</v>
      </c>
      <c r="H195" s="9">
        <v>0.7</v>
      </c>
      <c r="I195" s="9">
        <v>168257.59999999998</v>
      </c>
    </row>
    <row r="196" spans="1:9" x14ac:dyDescent="0.25">
      <c r="A196" s="35" t="s">
        <v>266</v>
      </c>
      <c r="B196" s="28" t="s">
        <v>28</v>
      </c>
      <c r="C196" s="28" t="s">
        <v>38</v>
      </c>
      <c r="D196" s="36">
        <v>46045</v>
      </c>
      <c r="E196" s="37">
        <v>17400</v>
      </c>
      <c r="F196" s="33">
        <v>15</v>
      </c>
      <c r="G196" s="9">
        <v>246818</v>
      </c>
      <c r="H196" s="9">
        <v>0.7</v>
      </c>
      <c r="I196" s="9">
        <v>172772.59999999998</v>
      </c>
    </row>
    <row r="197" spans="1:9" x14ac:dyDescent="0.25">
      <c r="A197" s="35" t="s">
        <v>267</v>
      </c>
      <c r="B197" s="28" t="s">
        <v>28</v>
      </c>
      <c r="C197" s="28" t="s">
        <v>38</v>
      </c>
      <c r="D197" s="36">
        <v>46023</v>
      </c>
      <c r="E197" s="37">
        <v>17400</v>
      </c>
      <c r="F197" s="33">
        <v>15</v>
      </c>
      <c r="G197" s="9">
        <v>250319</v>
      </c>
      <c r="H197" s="9">
        <v>0.7</v>
      </c>
      <c r="I197" s="9">
        <v>175223.3</v>
      </c>
    </row>
    <row r="198" spans="1:9" x14ac:dyDescent="0.25">
      <c r="A198" s="35" t="s">
        <v>268</v>
      </c>
      <c r="B198" s="28" t="s">
        <v>28</v>
      </c>
      <c r="C198" s="28" t="s">
        <v>38</v>
      </c>
      <c r="D198" s="36">
        <v>46035</v>
      </c>
      <c r="E198" s="37">
        <v>17400</v>
      </c>
      <c r="F198" s="33">
        <v>15</v>
      </c>
      <c r="G198" s="9">
        <v>252999</v>
      </c>
      <c r="H198" s="9">
        <v>0.7</v>
      </c>
      <c r="I198" s="9">
        <v>177099.3</v>
      </c>
    </row>
    <row r="199" spans="1:9" x14ac:dyDescent="0.25">
      <c r="A199" s="35" t="s">
        <v>269</v>
      </c>
      <c r="B199" s="28" t="s">
        <v>28</v>
      </c>
      <c r="C199" s="28" t="s">
        <v>38</v>
      </c>
      <c r="D199" s="36">
        <v>46034</v>
      </c>
      <c r="E199" s="37">
        <v>17400</v>
      </c>
      <c r="F199" s="33">
        <v>15</v>
      </c>
      <c r="G199" s="9">
        <v>263940</v>
      </c>
      <c r="H199" s="9">
        <v>0.7</v>
      </c>
      <c r="I199" s="9">
        <v>184758</v>
      </c>
    </row>
    <row r="200" spans="1:9" x14ac:dyDescent="0.25">
      <c r="A200" s="35" t="s">
        <v>270</v>
      </c>
      <c r="B200" s="28" t="s">
        <v>28</v>
      </c>
      <c r="C200" s="28" t="s">
        <v>38</v>
      </c>
      <c r="D200" s="36">
        <v>46048</v>
      </c>
      <c r="E200" s="37">
        <v>17400</v>
      </c>
      <c r="F200" s="33">
        <v>15</v>
      </c>
      <c r="G200" s="9">
        <v>253099</v>
      </c>
      <c r="H200" s="9">
        <v>0.7</v>
      </c>
      <c r="I200" s="9">
        <v>177169.3</v>
      </c>
    </row>
    <row r="201" spans="1:9" x14ac:dyDescent="0.25">
      <c r="A201" s="35" t="s">
        <v>271</v>
      </c>
      <c r="B201" s="28" t="s">
        <v>28</v>
      </c>
      <c r="C201" s="28" t="s">
        <v>38</v>
      </c>
      <c r="D201" s="36">
        <v>46024</v>
      </c>
      <c r="E201" s="37">
        <v>17400</v>
      </c>
      <c r="F201" s="33">
        <v>15</v>
      </c>
      <c r="G201" s="9">
        <v>269684</v>
      </c>
      <c r="H201" s="9">
        <v>0.7</v>
      </c>
      <c r="I201" s="9">
        <v>188778.8</v>
      </c>
    </row>
    <row r="202" spans="1:9" x14ac:dyDescent="0.25">
      <c r="A202" s="35" t="s">
        <v>272</v>
      </c>
      <c r="B202" s="28" t="s">
        <v>28</v>
      </c>
      <c r="C202" s="28" t="s">
        <v>38</v>
      </c>
      <c r="D202" s="36">
        <v>46060</v>
      </c>
      <c r="E202" s="37">
        <v>17400</v>
      </c>
      <c r="F202" s="33">
        <v>15</v>
      </c>
      <c r="G202" s="9">
        <v>252072</v>
      </c>
      <c r="H202" s="9">
        <v>0.75</v>
      </c>
      <c r="I202" s="9">
        <v>189054</v>
      </c>
    </row>
    <row r="203" spans="1:9" x14ac:dyDescent="0.25">
      <c r="A203" s="35" t="s">
        <v>273</v>
      </c>
      <c r="B203" s="28" t="s">
        <v>28</v>
      </c>
      <c r="C203" s="28" t="s">
        <v>38</v>
      </c>
      <c r="D203" s="36">
        <v>46067</v>
      </c>
      <c r="E203" s="37">
        <v>17400</v>
      </c>
      <c r="F203" s="33">
        <v>15</v>
      </c>
      <c r="G203" s="9">
        <v>240026</v>
      </c>
      <c r="H203" s="9">
        <v>0.75</v>
      </c>
      <c r="I203" s="9">
        <v>180019.5</v>
      </c>
    </row>
    <row r="204" spans="1:9" x14ac:dyDescent="0.25">
      <c r="A204" s="35" t="s">
        <v>274</v>
      </c>
      <c r="B204" s="28" t="s">
        <v>28</v>
      </c>
      <c r="C204" s="28" t="s">
        <v>38</v>
      </c>
      <c r="D204" s="36">
        <v>46078</v>
      </c>
      <c r="E204" s="37">
        <v>17400</v>
      </c>
      <c r="F204" s="33">
        <v>15</v>
      </c>
      <c r="G204" s="9">
        <v>244963</v>
      </c>
      <c r="H204" s="9">
        <v>0.75</v>
      </c>
      <c r="I204" s="9">
        <v>183722.25</v>
      </c>
    </row>
    <row r="205" spans="1:9" x14ac:dyDescent="0.25">
      <c r="A205" s="35" t="s">
        <v>275</v>
      </c>
      <c r="B205" s="28" t="s">
        <v>28</v>
      </c>
      <c r="C205" s="28" t="s">
        <v>38</v>
      </c>
      <c r="D205" s="36">
        <v>46070</v>
      </c>
      <c r="E205" s="37">
        <v>17400</v>
      </c>
      <c r="F205" s="33">
        <v>15</v>
      </c>
      <c r="G205" s="9">
        <v>237505</v>
      </c>
      <c r="H205" s="9">
        <v>0.75</v>
      </c>
      <c r="I205" s="9">
        <v>178128.75</v>
      </c>
    </row>
    <row r="206" spans="1:9" x14ac:dyDescent="0.25">
      <c r="A206" s="35" t="s">
        <v>276</v>
      </c>
      <c r="B206" s="28" t="s">
        <v>28</v>
      </c>
      <c r="C206" s="28" t="s">
        <v>38</v>
      </c>
      <c r="D206" s="36">
        <v>46054</v>
      </c>
      <c r="E206" s="37">
        <v>17400</v>
      </c>
      <c r="F206" s="33">
        <v>15</v>
      </c>
      <c r="G206" s="9">
        <v>282986</v>
      </c>
      <c r="H206" s="9">
        <v>0.75</v>
      </c>
      <c r="I206" s="9">
        <v>212239.5</v>
      </c>
    </row>
    <row r="207" spans="1:9" x14ac:dyDescent="0.25">
      <c r="A207" s="35" t="s">
        <v>277</v>
      </c>
      <c r="B207" s="28" t="s">
        <v>28</v>
      </c>
      <c r="C207" s="28" t="s">
        <v>38</v>
      </c>
      <c r="D207" s="36">
        <v>46081</v>
      </c>
      <c r="E207" s="37">
        <v>17400</v>
      </c>
      <c r="F207" s="33">
        <v>15</v>
      </c>
      <c r="G207" s="9">
        <v>285138</v>
      </c>
      <c r="H207" s="9">
        <v>0.75</v>
      </c>
      <c r="I207" s="9">
        <v>213853.5</v>
      </c>
    </row>
    <row r="208" spans="1:9" x14ac:dyDescent="0.25">
      <c r="A208" s="35" t="s">
        <v>278</v>
      </c>
      <c r="B208" s="28" t="s">
        <v>28</v>
      </c>
      <c r="C208" s="28" t="s">
        <v>38</v>
      </c>
      <c r="D208" s="36">
        <v>46079</v>
      </c>
      <c r="E208" s="37">
        <v>17400</v>
      </c>
      <c r="F208" s="33">
        <v>15</v>
      </c>
      <c r="G208" s="9">
        <v>238609</v>
      </c>
      <c r="H208" s="9">
        <v>0.75</v>
      </c>
      <c r="I208" s="9">
        <v>178956.75</v>
      </c>
    </row>
    <row r="209" spans="1:9" x14ac:dyDescent="0.25">
      <c r="A209" s="35" t="s">
        <v>279</v>
      </c>
      <c r="B209" s="28" t="s">
        <v>28</v>
      </c>
      <c r="C209" s="28" t="s">
        <v>38</v>
      </c>
      <c r="D209" s="36">
        <v>46072</v>
      </c>
      <c r="E209" s="37">
        <v>17400</v>
      </c>
      <c r="F209" s="33">
        <v>15</v>
      </c>
      <c r="G209" s="9">
        <v>270606</v>
      </c>
      <c r="H209" s="9">
        <v>0.75</v>
      </c>
      <c r="I209" s="9">
        <v>202954.5</v>
      </c>
    </row>
    <row r="210" spans="1:9" x14ac:dyDescent="0.25">
      <c r="A210" s="35" t="s">
        <v>280</v>
      </c>
      <c r="B210" s="28" t="s">
        <v>28</v>
      </c>
      <c r="C210" s="28" t="s">
        <v>38</v>
      </c>
      <c r="D210" s="36">
        <v>46097</v>
      </c>
      <c r="E210" s="37">
        <v>17400</v>
      </c>
      <c r="F210" s="33">
        <v>15</v>
      </c>
      <c r="G210" s="9">
        <v>260382</v>
      </c>
      <c r="H210" s="9">
        <v>0.8</v>
      </c>
      <c r="I210" s="9">
        <v>208305.6</v>
      </c>
    </row>
    <row r="211" spans="1:9" x14ac:dyDescent="0.25">
      <c r="A211" s="35" t="s">
        <v>281</v>
      </c>
      <c r="B211" s="28" t="s">
        <v>28</v>
      </c>
      <c r="C211" s="28" t="s">
        <v>38</v>
      </c>
      <c r="D211" s="36">
        <v>46086</v>
      </c>
      <c r="E211" s="37">
        <v>17400</v>
      </c>
      <c r="F211" s="33">
        <v>15</v>
      </c>
      <c r="G211" s="9">
        <v>273972</v>
      </c>
      <c r="H211" s="9">
        <v>0.8</v>
      </c>
      <c r="I211" s="9">
        <v>219177.60000000001</v>
      </c>
    </row>
    <row r="212" spans="1:9" x14ac:dyDescent="0.25">
      <c r="A212" s="35" t="s">
        <v>282</v>
      </c>
      <c r="B212" s="28" t="s">
        <v>28</v>
      </c>
      <c r="C212" s="28" t="s">
        <v>38</v>
      </c>
      <c r="D212" s="36">
        <v>46103</v>
      </c>
      <c r="E212" s="37">
        <v>17400</v>
      </c>
      <c r="F212" s="33">
        <v>15</v>
      </c>
      <c r="G212" s="9">
        <v>245315</v>
      </c>
      <c r="H212" s="9">
        <v>0.8</v>
      </c>
      <c r="I212" s="9">
        <v>196252</v>
      </c>
    </row>
    <row r="213" spans="1:9" x14ac:dyDescent="0.25">
      <c r="A213" s="35" t="s">
        <v>283</v>
      </c>
      <c r="B213" s="28" t="s">
        <v>28</v>
      </c>
      <c r="C213" s="28" t="s">
        <v>38</v>
      </c>
      <c r="D213" s="36">
        <v>46090</v>
      </c>
      <c r="E213" s="37">
        <v>17400</v>
      </c>
      <c r="F213" s="33">
        <v>15</v>
      </c>
      <c r="G213" s="9">
        <v>240039</v>
      </c>
      <c r="H213" s="9">
        <v>0.8</v>
      </c>
      <c r="I213" s="9">
        <v>192031.2</v>
      </c>
    </row>
    <row r="214" spans="1:9" x14ac:dyDescent="0.25">
      <c r="A214" s="35" t="s">
        <v>284</v>
      </c>
      <c r="B214" s="28" t="s">
        <v>28</v>
      </c>
      <c r="C214" s="28" t="s">
        <v>38</v>
      </c>
      <c r="D214" s="36">
        <v>46082</v>
      </c>
      <c r="E214" s="37">
        <v>17400</v>
      </c>
      <c r="F214" s="33">
        <v>15</v>
      </c>
      <c r="G214" s="9">
        <v>276778</v>
      </c>
      <c r="H214" s="9">
        <v>0.8</v>
      </c>
      <c r="I214" s="9">
        <v>221422.40000000002</v>
      </c>
    </row>
    <row r="215" spans="1:9" x14ac:dyDescent="0.25">
      <c r="A215" s="35" t="s">
        <v>285</v>
      </c>
      <c r="B215" s="28" t="s">
        <v>28</v>
      </c>
      <c r="C215" s="28" t="s">
        <v>38</v>
      </c>
      <c r="D215" s="36">
        <v>46082</v>
      </c>
      <c r="E215" s="37">
        <v>17400</v>
      </c>
      <c r="F215" s="33">
        <v>15</v>
      </c>
      <c r="G215" s="9">
        <v>246539</v>
      </c>
      <c r="H215" s="9">
        <v>0.8</v>
      </c>
      <c r="I215" s="9">
        <v>197231.2</v>
      </c>
    </row>
    <row r="216" spans="1:9" x14ac:dyDescent="0.25">
      <c r="A216" s="35" t="s">
        <v>286</v>
      </c>
      <c r="B216" s="28" t="s">
        <v>28</v>
      </c>
      <c r="C216" s="28" t="s">
        <v>38</v>
      </c>
      <c r="D216" s="36">
        <v>46090</v>
      </c>
      <c r="E216" s="37">
        <v>17400</v>
      </c>
      <c r="F216" s="33">
        <v>15</v>
      </c>
      <c r="G216" s="9">
        <v>245204</v>
      </c>
      <c r="H216" s="9">
        <v>0.8</v>
      </c>
      <c r="I216" s="9">
        <v>196163.20000000001</v>
      </c>
    </row>
    <row r="217" spans="1:9" x14ac:dyDescent="0.25">
      <c r="A217" s="35" t="s">
        <v>287</v>
      </c>
      <c r="B217" s="28" t="s">
        <v>28</v>
      </c>
      <c r="C217" s="28" t="s">
        <v>38</v>
      </c>
      <c r="D217" s="36">
        <v>46101</v>
      </c>
      <c r="E217" s="37">
        <v>17400</v>
      </c>
      <c r="F217" s="33">
        <v>15</v>
      </c>
      <c r="G217" s="9">
        <v>253111</v>
      </c>
      <c r="H217" s="9">
        <v>0.8</v>
      </c>
      <c r="I217" s="9">
        <v>202488.80000000002</v>
      </c>
    </row>
    <row r="218" spans="1:9" x14ac:dyDescent="0.25">
      <c r="A218" s="35" t="s">
        <v>288</v>
      </c>
      <c r="B218" s="28" t="s">
        <v>28</v>
      </c>
      <c r="C218" s="28" t="s">
        <v>38</v>
      </c>
      <c r="D218" s="36">
        <v>46134</v>
      </c>
      <c r="E218" s="37">
        <v>17400</v>
      </c>
      <c r="F218" s="33">
        <v>15</v>
      </c>
      <c r="G218" s="9">
        <v>265487</v>
      </c>
      <c r="H218" s="9">
        <v>0.85</v>
      </c>
      <c r="I218" s="9">
        <v>225663.94999999998</v>
      </c>
    </row>
    <row r="219" spans="1:9" x14ac:dyDescent="0.25">
      <c r="A219" s="35" t="s">
        <v>289</v>
      </c>
      <c r="B219" s="28" t="s">
        <v>28</v>
      </c>
      <c r="C219" s="28" t="s">
        <v>38</v>
      </c>
      <c r="D219" s="36">
        <v>46135</v>
      </c>
      <c r="E219" s="37">
        <v>17400</v>
      </c>
      <c r="F219" s="33">
        <v>15</v>
      </c>
      <c r="G219" s="9">
        <v>277416</v>
      </c>
      <c r="H219" s="9">
        <v>0.85</v>
      </c>
      <c r="I219" s="9">
        <v>235803.6</v>
      </c>
    </row>
    <row r="220" spans="1:9" x14ac:dyDescent="0.25">
      <c r="A220" s="35" t="s">
        <v>290</v>
      </c>
      <c r="B220" s="28" t="s">
        <v>28</v>
      </c>
      <c r="C220" s="28" t="s">
        <v>38</v>
      </c>
      <c r="D220" s="36">
        <v>46124</v>
      </c>
      <c r="E220" s="37">
        <v>17400</v>
      </c>
      <c r="F220" s="33">
        <v>15</v>
      </c>
      <c r="G220" s="9">
        <v>236107</v>
      </c>
      <c r="H220" s="9">
        <v>0.85</v>
      </c>
      <c r="I220" s="9">
        <v>200690.94999999998</v>
      </c>
    </row>
    <row r="221" spans="1:9" x14ac:dyDescent="0.25">
      <c r="A221" s="35" t="s">
        <v>291</v>
      </c>
      <c r="B221" s="28" t="s">
        <v>28</v>
      </c>
      <c r="C221" s="28" t="s">
        <v>38</v>
      </c>
      <c r="D221" s="36">
        <v>46135</v>
      </c>
      <c r="E221" s="37">
        <v>17400</v>
      </c>
      <c r="F221" s="33">
        <v>15</v>
      </c>
      <c r="G221" s="9">
        <v>285259</v>
      </c>
      <c r="H221" s="9">
        <v>0.85</v>
      </c>
      <c r="I221" s="9">
        <v>242470.15</v>
      </c>
    </row>
    <row r="222" spans="1:9" x14ac:dyDescent="0.25">
      <c r="A222" s="35" t="s">
        <v>292</v>
      </c>
      <c r="B222" s="28" t="s">
        <v>28</v>
      </c>
      <c r="C222" s="28" t="s">
        <v>38</v>
      </c>
      <c r="D222" s="36">
        <v>46133</v>
      </c>
      <c r="E222" s="37">
        <v>17400</v>
      </c>
      <c r="F222" s="33">
        <v>15</v>
      </c>
      <c r="G222" s="9">
        <v>284460</v>
      </c>
      <c r="H222" s="9">
        <v>0.85</v>
      </c>
      <c r="I222" s="9">
        <v>241791</v>
      </c>
    </row>
    <row r="223" spans="1:9" x14ac:dyDescent="0.25">
      <c r="A223" s="35" t="s">
        <v>293</v>
      </c>
      <c r="B223" s="28" t="s">
        <v>28</v>
      </c>
      <c r="C223" s="28" t="s">
        <v>38</v>
      </c>
      <c r="D223" s="36">
        <v>46120</v>
      </c>
      <c r="E223" s="37">
        <v>17400</v>
      </c>
      <c r="F223" s="33">
        <v>15</v>
      </c>
      <c r="G223" s="9">
        <v>284638</v>
      </c>
      <c r="H223" s="9">
        <v>0.85</v>
      </c>
      <c r="I223" s="9">
        <v>241942.3</v>
      </c>
    </row>
    <row r="224" spans="1:9" x14ac:dyDescent="0.25">
      <c r="A224" s="35" t="s">
        <v>294</v>
      </c>
      <c r="B224" s="28" t="s">
        <v>28</v>
      </c>
      <c r="C224" s="28" t="s">
        <v>38</v>
      </c>
      <c r="D224" s="36">
        <v>46132</v>
      </c>
      <c r="E224" s="37">
        <v>17400</v>
      </c>
      <c r="F224" s="33">
        <v>15</v>
      </c>
      <c r="G224" s="9">
        <v>276544</v>
      </c>
      <c r="H224" s="9">
        <v>0.85</v>
      </c>
      <c r="I224" s="9">
        <v>235062.39999999999</v>
      </c>
    </row>
    <row r="225" spans="1:9" x14ac:dyDescent="0.25">
      <c r="A225" s="35" t="s">
        <v>295</v>
      </c>
      <c r="B225" s="28" t="s">
        <v>28</v>
      </c>
      <c r="C225" s="28" t="s">
        <v>38</v>
      </c>
      <c r="D225" s="36">
        <v>46136</v>
      </c>
      <c r="E225" s="37">
        <v>17400</v>
      </c>
      <c r="F225" s="33">
        <v>15</v>
      </c>
      <c r="G225" s="9">
        <v>276082</v>
      </c>
      <c r="H225" s="9">
        <v>0.85</v>
      </c>
      <c r="I225" s="9">
        <v>234669.69999999998</v>
      </c>
    </row>
    <row r="226" spans="1:9" x14ac:dyDescent="0.25">
      <c r="A226" s="35" t="s">
        <v>296</v>
      </c>
      <c r="B226" s="28" t="s">
        <v>28</v>
      </c>
      <c r="C226" s="28" t="s">
        <v>38</v>
      </c>
      <c r="D226" s="36">
        <v>46163</v>
      </c>
      <c r="E226" s="37">
        <v>17400</v>
      </c>
      <c r="F226" s="33">
        <v>15</v>
      </c>
      <c r="G226" s="9">
        <v>249553</v>
      </c>
      <c r="H226" s="9">
        <v>0.9</v>
      </c>
      <c r="I226" s="9">
        <v>224597.7</v>
      </c>
    </row>
    <row r="227" spans="1:9" x14ac:dyDescent="0.25">
      <c r="A227" s="35" t="s">
        <v>297</v>
      </c>
      <c r="B227" s="28" t="s">
        <v>28</v>
      </c>
      <c r="C227" s="28" t="s">
        <v>38</v>
      </c>
      <c r="D227" s="36">
        <v>46146</v>
      </c>
      <c r="E227" s="37">
        <v>17400</v>
      </c>
      <c r="F227" s="33">
        <v>15</v>
      </c>
      <c r="G227" s="9">
        <v>246790</v>
      </c>
      <c r="H227" s="9">
        <v>0.9</v>
      </c>
      <c r="I227" s="9">
        <v>222111</v>
      </c>
    </row>
    <row r="228" spans="1:9" x14ac:dyDescent="0.25">
      <c r="A228" s="35" t="s">
        <v>298</v>
      </c>
      <c r="B228" s="28" t="s">
        <v>28</v>
      </c>
      <c r="C228" s="28" t="s">
        <v>38</v>
      </c>
      <c r="D228" s="36">
        <v>46161</v>
      </c>
      <c r="E228" s="37">
        <v>17400</v>
      </c>
      <c r="F228" s="33">
        <v>15</v>
      </c>
      <c r="G228" s="9">
        <v>250852</v>
      </c>
      <c r="H228" s="9">
        <v>0.9</v>
      </c>
      <c r="I228" s="9">
        <v>225766.80000000002</v>
      </c>
    </row>
    <row r="229" spans="1:9" x14ac:dyDescent="0.25">
      <c r="A229" s="35" t="s">
        <v>299</v>
      </c>
      <c r="B229" s="28" t="s">
        <v>28</v>
      </c>
      <c r="C229" s="28" t="s">
        <v>38</v>
      </c>
      <c r="D229" s="36">
        <v>46163</v>
      </c>
      <c r="E229" s="37">
        <v>17400</v>
      </c>
      <c r="F229" s="33">
        <v>15</v>
      </c>
      <c r="G229" s="9">
        <v>260213</v>
      </c>
      <c r="H229" s="9">
        <v>0.9</v>
      </c>
      <c r="I229" s="9">
        <v>234191.7</v>
      </c>
    </row>
    <row r="230" spans="1:9" x14ac:dyDescent="0.25">
      <c r="A230" s="35" t="s">
        <v>300</v>
      </c>
      <c r="B230" s="28" t="s">
        <v>28</v>
      </c>
      <c r="C230" s="28" t="s">
        <v>38</v>
      </c>
      <c r="D230" s="36">
        <v>46165</v>
      </c>
      <c r="E230" s="37">
        <v>17400</v>
      </c>
      <c r="F230" s="33">
        <v>15</v>
      </c>
      <c r="G230" s="9">
        <v>252012</v>
      </c>
      <c r="H230" s="9">
        <v>0.9</v>
      </c>
      <c r="I230" s="9">
        <v>226810.80000000002</v>
      </c>
    </row>
    <row r="231" spans="1:9" x14ac:dyDescent="0.25">
      <c r="A231" s="35" t="s">
        <v>301</v>
      </c>
      <c r="B231" s="28" t="s">
        <v>28</v>
      </c>
      <c r="C231" s="28" t="s">
        <v>38</v>
      </c>
      <c r="D231" s="36">
        <v>46150</v>
      </c>
      <c r="E231" s="37">
        <v>17400</v>
      </c>
      <c r="F231" s="33">
        <v>15</v>
      </c>
      <c r="G231" s="9">
        <v>278534</v>
      </c>
      <c r="H231" s="9">
        <v>0.9</v>
      </c>
      <c r="I231" s="9">
        <v>250680.6</v>
      </c>
    </row>
    <row r="232" spans="1:9" x14ac:dyDescent="0.25">
      <c r="A232" s="35" t="s">
        <v>302</v>
      </c>
      <c r="B232" s="28" t="s">
        <v>28</v>
      </c>
      <c r="C232" s="28" t="s">
        <v>38</v>
      </c>
      <c r="D232" s="36">
        <v>46153</v>
      </c>
      <c r="E232" s="37">
        <v>17400</v>
      </c>
      <c r="F232" s="33">
        <v>15</v>
      </c>
      <c r="G232" s="9">
        <v>258148</v>
      </c>
      <c r="H232" s="9">
        <v>0.9</v>
      </c>
      <c r="I232" s="9">
        <v>232333.2</v>
      </c>
    </row>
    <row r="233" spans="1:9" x14ac:dyDescent="0.25">
      <c r="A233" s="35" t="s">
        <v>303</v>
      </c>
      <c r="B233" s="28" t="s">
        <v>28</v>
      </c>
      <c r="C233" s="28" t="s">
        <v>38</v>
      </c>
      <c r="D233" s="36">
        <v>46157</v>
      </c>
      <c r="E233" s="37">
        <v>17400</v>
      </c>
      <c r="F233" s="33">
        <v>15</v>
      </c>
      <c r="G233" s="9">
        <v>246318</v>
      </c>
      <c r="H233" s="9">
        <v>0.9</v>
      </c>
      <c r="I233" s="9">
        <v>221686.2</v>
      </c>
    </row>
    <row r="234" spans="1:9" x14ac:dyDescent="0.25">
      <c r="A234" s="35" t="s">
        <v>304</v>
      </c>
      <c r="B234" s="28" t="s">
        <v>28</v>
      </c>
      <c r="C234" s="28" t="s">
        <v>38</v>
      </c>
      <c r="D234" s="36">
        <v>46189</v>
      </c>
      <c r="E234" s="37">
        <v>17400</v>
      </c>
      <c r="F234" s="33">
        <v>15</v>
      </c>
      <c r="G234" s="9">
        <v>275339</v>
      </c>
      <c r="H234" s="9">
        <v>0.89</v>
      </c>
      <c r="I234" s="9">
        <v>245051.71</v>
      </c>
    </row>
    <row r="235" spans="1:9" x14ac:dyDescent="0.25">
      <c r="A235" s="35" t="s">
        <v>305</v>
      </c>
      <c r="B235" s="28" t="s">
        <v>28</v>
      </c>
      <c r="C235" s="28" t="s">
        <v>38</v>
      </c>
      <c r="D235" s="36">
        <v>46180</v>
      </c>
      <c r="E235" s="37">
        <v>17400</v>
      </c>
      <c r="F235" s="33">
        <v>15</v>
      </c>
      <c r="G235" s="9">
        <v>266852</v>
      </c>
      <c r="H235" s="9">
        <v>0.89</v>
      </c>
      <c r="I235" s="9">
        <v>237498.28</v>
      </c>
    </row>
    <row r="236" spans="1:9" x14ac:dyDescent="0.25">
      <c r="A236" s="35" t="s">
        <v>306</v>
      </c>
      <c r="B236" s="28" t="s">
        <v>28</v>
      </c>
      <c r="C236" s="28" t="s">
        <v>38</v>
      </c>
      <c r="D236" s="36">
        <v>46200</v>
      </c>
      <c r="E236" s="37">
        <v>17400</v>
      </c>
      <c r="F236" s="33">
        <v>15</v>
      </c>
      <c r="G236" s="9">
        <v>279831</v>
      </c>
      <c r="H236" s="9">
        <v>0.89</v>
      </c>
      <c r="I236" s="9">
        <v>249049.59</v>
      </c>
    </row>
    <row r="237" spans="1:9" x14ac:dyDescent="0.25">
      <c r="A237" s="35" t="s">
        <v>307</v>
      </c>
      <c r="B237" s="28" t="s">
        <v>28</v>
      </c>
      <c r="C237" s="28" t="s">
        <v>38</v>
      </c>
      <c r="D237" s="36">
        <v>46199</v>
      </c>
      <c r="E237" s="37">
        <v>17400</v>
      </c>
      <c r="F237" s="33">
        <v>15</v>
      </c>
      <c r="G237" s="9">
        <v>285443</v>
      </c>
      <c r="H237" s="9">
        <v>0.89</v>
      </c>
      <c r="I237" s="9">
        <v>254044.27</v>
      </c>
    </row>
    <row r="238" spans="1:9" x14ac:dyDescent="0.25">
      <c r="A238" s="35" t="s">
        <v>308</v>
      </c>
      <c r="B238" s="28" t="s">
        <v>28</v>
      </c>
      <c r="C238" s="28" t="s">
        <v>38</v>
      </c>
      <c r="D238" s="36">
        <v>46186</v>
      </c>
      <c r="E238" s="37">
        <v>17400</v>
      </c>
      <c r="F238" s="33">
        <v>15</v>
      </c>
      <c r="G238" s="9">
        <v>264369</v>
      </c>
      <c r="H238" s="9">
        <v>0.89</v>
      </c>
      <c r="I238" s="9">
        <v>235288.41</v>
      </c>
    </row>
    <row r="239" spans="1:9" x14ac:dyDescent="0.25">
      <c r="A239" s="35" t="s">
        <v>309</v>
      </c>
      <c r="B239" s="28" t="s">
        <v>28</v>
      </c>
      <c r="C239" s="28" t="s">
        <v>38</v>
      </c>
      <c r="D239" s="36">
        <v>46197</v>
      </c>
      <c r="E239" s="37">
        <v>17400</v>
      </c>
      <c r="F239" s="33">
        <v>15</v>
      </c>
      <c r="G239" s="9">
        <v>266336</v>
      </c>
      <c r="H239" s="9">
        <v>0.89</v>
      </c>
      <c r="I239" s="9">
        <v>237039.04</v>
      </c>
    </row>
    <row r="240" spans="1:9" x14ac:dyDescent="0.25">
      <c r="A240" s="35" t="s">
        <v>310</v>
      </c>
      <c r="B240" s="28" t="s">
        <v>28</v>
      </c>
      <c r="C240" s="28" t="s">
        <v>38</v>
      </c>
      <c r="D240" s="36">
        <v>46176</v>
      </c>
      <c r="E240" s="37">
        <v>17400</v>
      </c>
      <c r="F240" s="33">
        <v>15</v>
      </c>
      <c r="G240" s="9">
        <v>262220</v>
      </c>
      <c r="H240" s="9">
        <v>0.89</v>
      </c>
      <c r="I240" s="9">
        <v>233375.80000000002</v>
      </c>
    </row>
    <row r="241" spans="1:9" x14ac:dyDescent="0.25">
      <c r="A241" s="35" t="s">
        <v>311</v>
      </c>
      <c r="B241" s="28" t="s">
        <v>28</v>
      </c>
      <c r="C241" s="28" t="s">
        <v>38</v>
      </c>
      <c r="D241" s="36">
        <v>46190</v>
      </c>
      <c r="E241" s="37">
        <v>17400</v>
      </c>
      <c r="F241" s="33">
        <v>15</v>
      </c>
      <c r="G241" s="9">
        <v>237710</v>
      </c>
      <c r="H241" s="9">
        <v>0.89</v>
      </c>
      <c r="I241" s="9">
        <v>211561.9</v>
      </c>
    </row>
  </sheetData>
  <phoneticPr fontId="5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8C8EF-D59D-4C86-BE65-88525024009A}">
  <dimension ref="A1:B5"/>
  <sheetViews>
    <sheetView workbookViewId="0">
      <selection activeCell="B4" sqref="B4"/>
    </sheetView>
  </sheetViews>
  <sheetFormatPr defaultRowHeight="15.75" x14ac:dyDescent="0.25"/>
  <cols>
    <col min="1" max="1" width="14.375" bestFit="1" customWidth="1"/>
    <col min="2" max="2" width="22.625" bestFit="1" customWidth="1"/>
  </cols>
  <sheetData>
    <row r="1" spans="1:2" x14ac:dyDescent="0.25">
      <c r="A1" s="5" t="s">
        <v>11</v>
      </c>
      <c r="B1" s="6" t="s">
        <v>51</v>
      </c>
    </row>
    <row r="2" spans="1:2" x14ac:dyDescent="0.25">
      <c r="A2" s="7" t="s">
        <v>26</v>
      </c>
      <c r="B2" s="18">
        <v>2500</v>
      </c>
    </row>
    <row r="3" spans="1:2" x14ac:dyDescent="0.25">
      <c r="A3" s="7" t="s">
        <v>27</v>
      </c>
      <c r="B3" s="18">
        <v>2600</v>
      </c>
    </row>
    <row r="4" spans="1:2" x14ac:dyDescent="0.25">
      <c r="A4" s="7" t="s">
        <v>28</v>
      </c>
      <c r="B4" s="18">
        <v>17400</v>
      </c>
    </row>
    <row r="5" spans="1:2" x14ac:dyDescent="0.25">
      <c r="A5" s="8" t="s">
        <v>52</v>
      </c>
      <c r="B5" s="19">
        <v>9500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557E6-EA61-4A7B-BFAD-9DC6C6FD1C19}">
  <dimension ref="A1:J20"/>
  <sheetViews>
    <sheetView zoomScale="80" workbookViewId="0">
      <selection activeCell="H6" sqref="H6"/>
    </sheetView>
  </sheetViews>
  <sheetFormatPr defaultRowHeight="15.75" x14ac:dyDescent="0.25"/>
  <cols>
    <col min="1" max="1" width="23.125" bestFit="1" customWidth="1"/>
    <col min="2" max="2" width="11.375" bestFit="1" customWidth="1"/>
    <col min="3" max="3" width="39" customWidth="1"/>
    <col min="4" max="4" width="29.5" customWidth="1"/>
    <col min="5" max="5" width="11.625" customWidth="1"/>
    <col min="6" max="6" width="9" customWidth="1"/>
    <col min="7" max="7" width="18.75" bestFit="1" customWidth="1"/>
  </cols>
  <sheetData>
    <row r="1" spans="1:10" ht="47.25" x14ac:dyDescent="0.25">
      <c r="A1" s="20" t="s">
        <v>13</v>
      </c>
      <c r="B1" s="21" t="s">
        <v>11</v>
      </c>
      <c r="C1" s="22" t="s">
        <v>29</v>
      </c>
      <c r="D1" s="23" t="s">
        <v>40</v>
      </c>
      <c r="E1" s="24" t="s">
        <v>50</v>
      </c>
      <c r="F1" s="23" t="s">
        <v>54</v>
      </c>
      <c r="G1" s="23" t="s">
        <v>55</v>
      </c>
      <c r="H1" s="23" t="s">
        <v>58</v>
      </c>
      <c r="I1" s="23" t="s">
        <v>59</v>
      </c>
      <c r="J1" s="23" t="s">
        <v>25</v>
      </c>
    </row>
    <row r="2" spans="1:10" x14ac:dyDescent="0.25">
      <c r="A2" s="13" t="s">
        <v>32</v>
      </c>
      <c r="B2" s="9" t="s">
        <v>27</v>
      </c>
      <c r="C2" s="10" t="s">
        <v>33</v>
      </c>
      <c r="D2" s="15" t="s">
        <v>41</v>
      </c>
      <c r="E2" s="15">
        <f>2600*1.92</f>
        <v>4992</v>
      </c>
      <c r="F2" s="15">
        <f>VLOOKUP(Table4[[#This Row],[Aircraft Type]], 'Fuel Burn rate'!$A$2:$B$6, 2,)</f>
        <v>2600</v>
      </c>
      <c r="G2" s="15">
        <v>4677</v>
      </c>
      <c r="H2" s="25">
        <v>1.91</v>
      </c>
      <c r="I2" s="15">
        <f t="shared" ref="I2:I6" si="0">LEFT(C2,FIND("h",C2)-1) + MID(C2,FIND("h",C2)+2,2)/60</f>
        <v>1.9166666666666665</v>
      </c>
      <c r="J2" s="29">
        <f t="shared" ref="J2:J6" ca="1" si="1">RANDBETWEEN((F2*I2)*0.9,(F2*I2)*1.1)</f>
        <v>5470</v>
      </c>
    </row>
    <row r="3" spans="1:10" x14ac:dyDescent="0.25">
      <c r="A3" s="13" t="s">
        <v>30</v>
      </c>
      <c r="B3" s="9" t="s">
        <v>26</v>
      </c>
      <c r="C3" s="10" t="s">
        <v>31</v>
      </c>
      <c r="D3" s="15" t="s">
        <v>41</v>
      </c>
      <c r="E3" s="15">
        <f>2500*2</f>
        <v>5000</v>
      </c>
      <c r="F3" s="15">
        <f>VLOOKUP(Table4[[#This Row],[Aircraft Type]], 'Fuel Burn rate'!$A$2:$B$6, 2,)</f>
        <v>2500</v>
      </c>
      <c r="G3" s="15">
        <v>5370</v>
      </c>
      <c r="H3" s="25">
        <v>2</v>
      </c>
      <c r="I3" s="15">
        <f t="shared" si="0"/>
        <v>2</v>
      </c>
      <c r="J3" s="29">
        <f t="shared" ca="1" si="1"/>
        <v>4559</v>
      </c>
    </row>
    <row r="4" spans="1:10" x14ac:dyDescent="0.25">
      <c r="A4" s="13" t="s">
        <v>34</v>
      </c>
      <c r="B4" s="9" t="s">
        <v>26</v>
      </c>
      <c r="C4" s="10" t="s">
        <v>35</v>
      </c>
      <c r="D4" s="15" t="s">
        <v>42</v>
      </c>
      <c r="E4" s="15">
        <f>2500*3.5</f>
        <v>8750</v>
      </c>
      <c r="F4" s="15">
        <f>VLOOKUP(Table4[[#This Row],[Aircraft Type]], 'Fuel Burn rate'!$A$2:$B$6, 2,)</f>
        <v>2500</v>
      </c>
      <c r="G4" s="15">
        <v>9311</v>
      </c>
      <c r="H4" s="25">
        <v>3.5</v>
      </c>
      <c r="I4" s="15">
        <f t="shared" si="0"/>
        <v>3.5</v>
      </c>
      <c r="J4" s="29">
        <f t="shared" ca="1" si="1"/>
        <v>8902</v>
      </c>
    </row>
    <row r="5" spans="1:10" x14ac:dyDescent="0.25">
      <c r="A5" s="13" t="s">
        <v>36</v>
      </c>
      <c r="B5" s="9" t="s">
        <v>52</v>
      </c>
      <c r="C5" s="10" t="s">
        <v>37</v>
      </c>
      <c r="D5" s="15" t="s">
        <v>43</v>
      </c>
      <c r="E5" s="15">
        <f>9500*6.58</f>
        <v>62510</v>
      </c>
      <c r="F5" s="15">
        <f>VLOOKUP(Table4[[#This Row],[Aircraft Type]], 'Fuel Burn rate'!$A$2:$B$6, 2,)</f>
        <v>9500</v>
      </c>
      <c r="G5" s="15">
        <v>58292</v>
      </c>
      <c r="H5" s="25">
        <v>6.5830000000000002</v>
      </c>
      <c r="I5" s="15">
        <f t="shared" si="0"/>
        <v>6.583333333333333</v>
      </c>
      <c r="J5" s="29">
        <f t="shared" ca="1" si="1"/>
        <v>65988</v>
      </c>
    </row>
    <row r="6" spans="1:10" x14ac:dyDescent="0.25">
      <c r="A6" s="14" t="s">
        <v>38</v>
      </c>
      <c r="B6" s="11" t="s">
        <v>28</v>
      </c>
      <c r="C6" s="12" t="s">
        <v>39</v>
      </c>
      <c r="D6" s="15" t="s">
        <v>43</v>
      </c>
      <c r="E6" s="15">
        <f>17400*15</f>
        <v>261000</v>
      </c>
      <c r="F6" s="15">
        <f>VLOOKUP(Table4[[#This Row],[Aircraft Type]], 'Fuel Burn rate'!$A$2:$B$6, 2,)</f>
        <v>17400</v>
      </c>
      <c r="G6" s="15">
        <v>247528</v>
      </c>
      <c r="H6" s="25">
        <v>15</v>
      </c>
      <c r="I6" s="15">
        <f t="shared" si="0"/>
        <v>15</v>
      </c>
      <c r="J6" s="29">
        <f t="shared" ca="1" si="1"/>
        <v>276520</v>
      </c>
    </row>
    <row r="8" spans="1:10" x14ac:dyDescent="0.25">
      <c r="A8" s="16" t="s">
        <v>44</v>
      </c>
    </row>
    <row r="9" spans="1:10" ht="50.1" customHeight="1" x14ac:dyDescent="0.25">
      <c r="A9" s="16" t="s">
        <v>45</v>
      </c>
      <c r="C9" s="3" t="s">
        <v>56</v>
      </c>
      <c r="D9" s="3" t="s">
        <v>66</v>
      </c>
    </row>
    <row r="10" spans="1:10" x14ac:dyDescent="0.25">
      <c r="A10" s="16" t="s">
        <v>46</v>
      </c>
    </row>
    <row r="11" spans="1:10" ht="31.5" x14ac:dyDescent="0.25">
      <c r="C11" s="26" t="s">
        <v>57</v>
      </c>
      <c r="D11" s="26" t="s">
        <v>67</v>
      </c>
    </row>
    <row r="13" spans="1:10" x14ac:dyDescent="0.25">
      <c r="C13" s="3" t="s">
        <v>60</v>
      </c>
    </row>
    <row r="14" spans="1:10" x14ac:dyDescent="0.25">
      <c r="C14" s="3"/>
    </row>
    <row r="15" spans="1:10" ht="31.5" x14ac:dyDescent="0.25">
      <c r="C15" s="3" t="s">
        <v>62</v>
      </c>
    </row>
    <row r="16" spans="1:10" ht="31.5" x14ac:dyDescent="0.25">
      <c r="C16" s="3" t="s">
        <v>63</v>
      </c>
    </row>
    <row r="17" spans="3:3" ht="47.25" x14ac:dyDescent="0.25">
      <c r="C17" s="3" t="s">
        <v>64</v>
      </c>
    </row>
    <row r="18" spans="3:3" x14ac:dyDescent="0.25">
      <c r="C18" s="3" t="s">
        <v>65</v>
      </c>
    </row>
    <row r="19" spans="3:3" x14ac:dyDescent="0.25">
      <c r="C19" s="3" t="s">
        <v>61</v>
      </c>
    </row>
    <row r="20" spans="3:3" x14ac:dyDescent="0.25">
      <c r="C20" s="3"/>
    </row>
  </sheetData>
  <phoneticPr fontId="5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5CBEC-93AE-4A3B-B13C-04534096B571}">
  <dimension ref="A1:E7"/>
  <sheetViews>
    <sheetView topLeftCell="B1" workbookViewId="0">
      <selection activeCell="D9" sqref="D9"/>
    </sheetView>
  </sheetViews>
  <sheetFormatPr defaultRowHeight="15.75" x14ac:dyDescent="0.25"/>
  <cols>
    <col min="1" max="1" width="13.25" bestFit="1" customWidth="1"/>
    <col min="2" max="2" width="14.875" bestFit="1" customWidth="1"/>
    <col min="3" max="3" width="6.875" bestFit="1" customWidth="1"/>
  </cols>
  <sheetData>
    <row r="1" spans="1:5" x14ac:dyDescent="0.25">
      <c r="A1" t="s">
        <v>119</v>
      </c>
      <c r="B1" t="s">
        <v>69</v>
      </c>
      <c r="C1" t="s">
        <v>68</v>
      </c>
    </row>
    <row r="2" spans="1:5" x14ac:dyDescent="0.25">
      <c r="A2">
        <f t="shared" ref="A2:A7" si="0">MONTH(C2)</f>
        <v>1</v>
      </c>
      <c r="B2">
        <v>0.7</v>
      </c>
      <c r="C2" s="27">
        <v>46023</v>
      </c>
    </row>
    <row r="3" spans="1:5" x14ac:dyDescent="0.25">
      <c r="A3">
        <f t="shared" si="0"/>
        <v>2</v>
      </c>
      <c r="B3">
        <v>0.75</v>
      </c>
      <c r="C3" s="27">
        <v>46054</v>
      </c>
    </row>
    <row r="4" spans="1:5" x14ac:dyDescent="0.25">
      <c r="A4">
        <f t="shared" si="0"/>
        <v>3</v>
      </c>
      <c r="B4">
        <v>0.8</v>
      </c>
      <c r="C4" s="27">
        <v>46082</v>
      </c>
    </row>
    <row r="5" spans="1:5" x14ac:dyDescent="0.25">
      <c r="A5">
        <f t="shared" si="0"/>
        <v>4</v>
      </c>
      <c r="B5">
        <v>0.85</v>
      </c>
      <c r="C5" s="27">
        <v>46113</v>
      </c>
    </row>
    <row r="6" spans="1:5" x14ac:dyDescent="0.25">
      <c r="A6">
        <f t="shared" si="0"/>
        <v>5</v>
      </c>
      <c r="B6">
        <v>0.9</v>
      </c>
      <c r="C6" s="27">
        <v>46143</v>
      </c>
      <c r="E6">
        <f>MONTH(C2)</f>
        <v>1</v>
      </c>
    </row>
    <row r="7" spans="1:5" x14ac:dyDescent="0.25">
      <c r="A7">
        <f t="shared" si="0"/>
        <v>6</v>
      </c>
      <c r="B7">
        <v>0.89</v>
      </c>
      <c r="C7" s="27">
        <v>46174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58BB2-151E-42E1-8897-46920E91D357}">
  <dimension ref="A3:B9"/>
  <sheetViews>
    <sheetView topLeftCell="A7" workbookViewId="0">
      <selection activeCell="G19" sqref="G19"/>
    </sheetView>
  </sheetViews>
  <sheetFormatPr defaultRowHeight="15.75" x14ac:dyDescent="0.25"/>
  <cols>
    <col min="1" max="1" width="21.25" bestFit="1" customWidth="1"/>
    <col min="2" max="2" width="14.75" bestFit="1" customWidth="1"/>
  </cols>
  <sheetData>
    <row r="3" spans="1:2" x14ac:dyDescent="0.25">
      <c r="A3" s="40" t="s">
        <v>315</v>
      </c>
      <c r="B3" s="30" t="s">
        <v>316</v>
      </c>
    </row>
    <row r="4" spans="1:2" x14ac:dyDescent="0.25">
      <c r="A4" s="41" t="s">
        <v>38</v>
      </c>
      <c r="B4" s="42">
        <v>10195523.6</v>
      </c>
    </row>
    <row r="5" spans="1:2" x14ac:dyDescent="0.25">
      <c r="A5" s="41" t="s">
        <v>30</v>
      </c>
      <c r="B5" s="42">
        <v>195802.20000000004</v>
      </c>
    </row>
    <row r="6" spans="1:2" x14ac:dyDescent="0.25">
      <c r="A6" s="41" t="s">
        <v>36</v>
      </c>
      <c r="B6" s="42">
        <v>2440072.2899999996</v>
      </c>
    </row>
    <row r="7" spans="1:2" x14ac:dyDescent="0.25">
      <c r="A7" s="41" t="s">
        <v>32</v>
      </c>
      <c r="B7" s="42">
        <v>195457.20999999996</v>
      </c>
    </row>
    <row r="8" spans="1:2" x14ac:dyDescent="0.25">
      <c r="A8" s="41" t="s">
        <v>34</v>
      </c>
      <c r="B8" s="42">
        <v>340102.97000000003</v>
      </c>
    </row>
    <row r="9" spans="1:2" x14ac:dyDescent="0.25">
      <c r="A9" s="41" t="s">
        <v>313</v>
      </c>
      <c r="B9" s="42">
        <v>13366958.269999998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37CA3-586D-47EF-95E6-578A757C8DE8}">
  <dimension ref="A3:D15"/>
  <sheetViews>
    <sheetView topLeftCell="C3" workbookViewId="0">
      <selection activeCell="C10" sqref="C10"/>
    </sheetView>
  </sheetViews>
  <sheetFormatPr defaultRowHeight="15.75" x14ac:dyDescent="0.25"/>
  <cols>
    <col min="1" max="1" width="14.375" bestFit="1" customWidth="1"/>
    <col min="2" max="2" width="18.625" bestFit="1" customWidth="1"/>
    <col min="3" max="3" width="12.375" bestFit="1" customWidth="1"/>
    <col min="4" max="4" width="15" bestFit="1" customWidth="1"/>
  </cols>
  <sheetData>
    <row r="3" spans="1:4" x14ac:dyDescent="0.25">
      <c r="A3" s="43" t="s">
        <v>11</v>
      </c>
      <c r="B3" s="43" t="s">
        <v>318</v>
      </c>
      <c r="C3" s="43" t="s">
        <v>319</v>
      </c>
      <c r="D3" s="43" t="s">
        <v>317</v>
      </c>
    </row>
    <row r="4" spans="1:4" x14ac:dyDescent="0.25">
      <c r="A4" s="41" t="s">
        <v>26</v>
      </c>
      <c r="B4" s="42">
        <v>657482</v>
      </c>
      <c r="C4" s="42">
        <v>264</v>
      </c>
      <c r="D4" s="30">
        <v>2490.462121212121</v>
      </c>
    </row>
    <row r="5" spans="1:4" x14ac:dyDescent="0.25">
      <c r="A5" s="41" t="s">
        <v>28</v>
      </c>
      <c r="B5" s="42">
        <v>12494532</v>
      </c>
      <c r="C5" s="42">
        <v>720</v>
      </c>
      <c r="D5" s="30">
        <v>17353.516666666666</v>
      </c>
    </row>
    <row r="6" spans="1:4" x14ac:dyDescent="0.25">
      <c r="A6" s="41" t="s">
        <v>27</v>
      </c>
      <c r="B6" s="42">
        <v>239817</v>
      </c>
      <c r="C6" s="42">
        <v>91.679999999999893</v>
      </c>
      <c r="D6" s="30">
        <v>2615.8049738219925</v>
      </c>
    </row>
    <row r="7" spans="1:4" x14ac:dyDescent="0.25">
      <c r="A7" s="41" t="s">
        <v>52</v>
      </c>
      <c r="B7" s="42">
        <v>2993154</v>
      </c>
      <c r="C7" s="42">
        <v>315.84000000000009</v>
      </c>
      <c r="D7" s="30">
        <v>9476.8047112461973</v>
      </c>
    </row>
    <row r="8" spans="1:4" x14ac:dyDescent="0.25">
      <c r="A8" s="44" t="s">
        <v>313</v>
      </c>
      <c r="B8" s="45">
        <v>16384985</v>
      </c>
      <c r="C8" s="45">
        <v>1391.52</v>
      </c>
      <c r="D8" s="43">
        <v>11774.882861906404</v>
      </c>
    </row>
    <row r="10" spans="1:4" x14ac:dyDescent="0.25">
      <c r="A10" s="46" t="s">
        <v>11</v>
      </c>
      <c r="B10" s="48" t="s">
        <v>317</v>
      </c>
    </row>
    <row r="11" spans="1:4" x14ac:dyDescent="0.25">
      <c r="A11" s="41" t="s">
        <v>26</v>
      </c>
      <c r="B11" s="30">
        <v>2490.462121212121</v>
      </c>
    </row>
    <row r="12" spans="1:4" x14ac:dyDescent="0.25">
      <c r="A12" s="41" t="s">
        <v>28</v>
      </c>
      <c r="B12" s="30">
        <v>17353.516666666666</v>
      </c>
    </row>
    <row r="13" spans="1:4" x14ac:dyDescent="0.25">
      <c r="A13" s="41" t="s">
        <v>27</v>
      </c>
      <c r="B13" s="30">
        <v>2615.8049738219925</v>
      </c>
    </row>
    <row r="14" spans="1:4" x14ac:dyDescent="0.25">
      <c r="A14" s="41" t="s">
        <v>52</v>
      </c>
      <c r="B14" s="30">
        <v>9476.8047112461973</v>
      </c>
    </row>
    <row r="15" spans="1:4" x14ac:dyDescent="0.25">
      <c r="A15" s="47"/>
      <c r="B15" s="43"/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19EBF-5611-4B7D-ACC4-5915319064B4}">
  <dimension ref="A3:B10"/>
  <sheetViews>
    <sheetView tabSelected="1" workbookViewId="0">
      <selection activeCell="E5" sqref="E5"/>
    </sheetView>
  </sheetViews>
  <sheetFormatPr defaultRowHeight="15.75" x14ac:dyDescent="0.25"/>
  <cols>
    <col min="1" max="1" width="12.875" bestFit="1" customWidth="1"/>
    <col min="2" max="2" width="20.75" bestFit="1" customWidth="1"/>
  </cols>
  <sheetData>
    <row r="3" spans="1:2" x14ac:dyDescent="0.25">
      <c r="A3" s="40" t="s">
        <v>312</v>
      </c>
      <c r="B3" s="30" t="s">
        <v>314</v>
      </c>
    </row>
    <row r="4" spans="1:2" x14ac:dyDescent="0.25">
      <c r="A4" s="41" t="s">
        <v>320</v>
      </c>
      <c r="B4" s="42">
        <v>1881619.6</v>
      </c>
    </row>
    <row r="5" spans="1:2" x14ac:dyDescent="0.25">
      <c r="A5" s="41" t="s">
        <v>321</v>
      </c>
      <c r="B5" s="42">
        <v>2018771.25</v>
      </c>
    </row>
    <row r="6" spans="1:2" x14ac:dyDescent="0.25">
      <c r="A6" s="41" t="s">
        <v>322</v>
      </c>
      <c r="B6" s="42">
        <v>2151748.7999999998</v>
      </c>
    </row>
    <row r="7" spans="1:2" x14ac:dyDescent="0.25">
      <c r="A7" s="41" t="s">
        <v>323</v>
      </c>
      <c r="B7" s="42">
        <v>2401078.3000000003</v>
      </c>
    </row>
    <row r="8" spans="1:2" x14ac:dyDescent="0.25">
      <c r="A8" s="41" t="s">
        <v>324</v>
      </c>
      <c r="B8" s="42">
        <v>2425311.0000000005</v>
      </c>
    </row>
    <row r="9" spans="1:2" x14ac:dyDescent="0.25">
      <c r="A9" s="41" t="s">
        <v>325</v>
      </c>
      <c r="B9" s="42">
        <v>2488429.3199999998</v>
      </c>
    </row>
    <row r="10" spans="1:2" x14ac:dyDescent="0.25">
      <c r="A10" s="41" t="s">
        <v>313</v>
      </c>
      <c r="B10" s="42">
        <v>13366958.270000001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Intro</vt:lpstr>
      <vt:lpstr>Working sheet</vt:lpstr>
      <vt:lpstr>Fuel Burn rate</vt:lpstr>
      <vt:lpstr>Duration</vt:lpstr>
      <vt:lpstr>6 Months data</vt:lpstr>
      <vt:lpstr>PivotTable - Route Cost</vt:lpstr>
      <vt:lpstr>PivotTable - Efficiency</vt:lpstr>
      <vt:lpstr>PivotTable - Monthly Spend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Umaisa Shujaat</dc:creator>
  <cp:lastModifiedBy>Umaisa Shujaat</cp:lastModifiedBy>
  <dcterms:created xsi:type="dcterms:W3CDTF">2026-08-10T06:18:51Z</dcterms:created>
  <dcterms:modified xsi:type="dcterms:W3CDTF">2026-08-21T16:54:52Z</dcterms:modified>
</cp:coreProperties>
</file>